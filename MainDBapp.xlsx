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240" yWindow="1800" windowWidth="17280" windowHeight="8964" tabRatio="747" firstSheet="0" activeTab="5" autoFilterDateGrouping="1"/>
  </bookViews>
  <sheets>
    <sheet name="TableInvoices" sheetId="1" state="visible" r:id="rId1"/>
    <sheet name="TableFarmers" sheetId="2" state="visible" r:id="rId2"/>
    <sheet name="TableBuyers" sheetId="3" state="visible" r:id="rId3"/>
    <sheet name="TableEmployees" sheetId="4" state="visible" r:id="rId4"/>
    <sheet name="TableJournalEntries" sheetId="5" state="visible" r:id="rId5"/>
    <sheet name="TablePayments" sheetId="6" state="visible" r:id="rId6"/>
    <sheet name="TableAccounts" sheetId="7" state="visible" r:id="rId7"/>
    <sheet name="Settings" sheetId="8" state="visible" r:id="rId8"/>
    <sheet name="TableUsers" sheetId="9" state="visible" r:id="rId9"/>
  </sheets>
  <definedNames>
    <definedName name="_xlnm._FilterDatabase" localSheetId="6" hidden="1">'TableAccounts'!$A$1:$L$89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#,##0\ &quot;ر.ي.‏&quot;"/>
    <numFmt numFmtId="165" formatCode="yyyy\-mm\-dd\ hh:mm:ss"/>
    <numFmt numFmtId="166" formatCode="mm\-dd;@"/>
    <numFmt numFmtId="167" formatCode="[$-F400]h:mm:ss\ AM/PM"/>
    <numFmt numFmtId="168" formatCode="[$-2000401]#,##0"/>
    <numFmt numFmtId="169" formatCode="_(* #,##0_);_(* \(#,##0\);_(* &quot;-&quot;??_);_(@_)"/>
  </numFmts>
  <fonts count="18">
    <font>
      <name val="Arial"/>
      <family val="2"/>
      <color theme="1"/>
      <sz val="11"/>
      <scheme val="minor"/>
    </font>
    <font>
      <name val="Arial"/>
      <charset val="178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color theme="1"/>
      <sz val="11"/>
    </font>
    <font>
      <name val="Google Sans Text"/>
      <family val="2"/>
      <color rgb="FF1F1F1F"/>
      <sz val="11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2"/>
      <scheme val="minor"/>
    </font>
    <font>
      <name val="Arial"/>
      <family val="2"/>
      <b val="1"/>
      <color theme="1"/>
      <sz val="11"/>
      <u val="single"/>
      <scheme val="minor"/>
    </font>
    <font>
      <name val="Arial"/>
      <family val="2"/>
      <b val="1"/>
      <color theme="1"/>
      <sz val="8"/>
      <scheme val="minor"/>
    </font>
    <font>
      <name val="Arial"/>
      <family val="2"/>
      <b val="1"/>
      <color theme="1"/>
      <sz val="7.5"/>
      <scheme val="minor"/>
    </font>
    <font>
      <name val="GE Tasmeem"/>
      <charset val="178"/>
      <family val="1"/>
      <b val="1"/>
      <color theme="1"/>
      <sz val="11"/>
    </font>
    <font>
      <name val="Arial"/>
      <family val="2"/>
      <color theme="1"/>
      <sz val="5"/>
      <scheme val="minor"/>
    </font>
    <font>
      <name val="Arial"/>
      <family val="2"/>
      <b val="1"/>
      <color theme="1"/>
      <sz val="7"/>
      <scheme val="minor"/>
    </font>
    <font>
      <name val="Arial"/>
      <family val="2"/>
      <b val="1"/>
      <color theme="1"/>
      <sz val="12"/>
      <u val="single"/>
      <scheme val="minor"/>
    </font>
    <font>
      <name val="Arial"/>
      <charset val="178"/>
      <family val="2"/>
      <color theme="1"/>
      <sz val="10"/>
      <scheme val="minor"/>
    </font>
    <font>
      <name val="GE Tasmeem"/>
      <charset val="178"/>
      <family val="1"/>
      <color theme="1"/>
      <sz val="10"/>
    </font>
    <font>
      <name val="Arial"/>
      <family val="2"/>
      <color theme="1"/>
      <sz val="12"/>
      <scheme val="minor"/>
    </font>
  </fonts>
  <fills count="9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399975585192419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3">
    <xf numFmtId="0" fontId="5" fillId="0" borderId="0"/>
    <xf numFmtId="0" fontId="1" fillId="0" borderId="0"/>
    <xf numFmtId="43" fontId="5" fillId="0" borderId="0"/>
  </cellStyleXfs>
  <cellXfs count="74">
    <xf numFmtId="0" fontId="0" fillId="0" borderId="0" pivotButton="0" quotePrefix="0" xfId="0"/>
    <xf numFmtId="0" fontId="0" fillId="0" borderId="1" pivotButton="0" quotePrefix="0" xfId="0"/>
    <xf numFmtId="0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right" vertical="center" indent="1" readingOrder="2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1" fillId="0" borderId="0" pivotButton="0" quotePrefix="0" xfId="1"/>
    <xf numFmtId="0" fontId="0" fillId="0" borderId="1" applyAlignment="1" pivotButton="0" quotePrefix="0" xfId="0">
      <alignment horizontal="right" readingOrder="2"/>
    </xf>
    <xf numFmtId="0" fontId="0" fillId="0" borderId="3" pivotButton="0" quotePrefix="0" xfId="0"/>
    <xf numFmtId="0" fontId="4" fillId="0" borderId="1" applyAlignment="1" pivotButton="0" quotePrefix="0" xfId="0">
      <alignment horizontal="right" vertical="center"/>
    </xf>
    <xf numFmtId="0" fontId="2" fillId="0" borderId="4" applyAlignment="1" pivotButton="0" quotePrefix="0" xfId="0">
      <alignment horizontal="right" vertical="center" readingOrder="2"/>
    </xf>
    <xf numFmtId="0" fontId="2" fillId="0" borderId="5" applyAlignment="1" pivotButton="0" quotePrefix="0" xfId="0">
      <alignment horizontal="right" vertical="center" readingOrder="2"/>
    </xf>
    <xf numFmtId="0" fontId="2" fillId="0" borderId="0" applyAlignment="1" pivotButton="0" quotePrefix="0" xfId="0">
      <alignment horizontal="right" vertical="center" readingOrder="2"/>
    </xf>
    <xf numFmtId="0" fontId="2" fillId="0" borderId="6" applyAlignment="1" pivotButton="0" quotePrefix="0" xfId="0">
      <alignment horizontal="right" vertical="center" readingOrder="2"/>
    </xf>
    <xf numFmtId="0" fontId="2" fillId="0" borderId="7" applyAlignment="1" pivotButton="0" quotePrefix="0" xfId="0">
      <alignment horizontal="right" vertical="center" readingOrder="2"/>
    </xf>
    <xf numFmtId="49" fontId="0" fillId="0" borderId="0" pivotButton="0" quotePrefix="0" xfId="0"/>
    <xf numFmtId="164" fontId="0" fillId="0" borderId="0" applyAlignment="1" pivotButton="0" quotePrefix="0" xfId="2">
      <alignment horizontal="right" readingOrder="2"/>
    </xf>
    <xf numFmtId="0" fontId="1" fillId="0" borderId="1" pivotButton="0" quotePrefix="0" xfId="1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6" fillId="0" borderId="0" pivotButton="0" quotePrefix="0" xfId="0"/>
    <xf numFmtId="0" fontId="7" fillId="0" borderId="1" pivotButton="0" quotePrefix="0" xfId="0"/>
    <xf numFmtId="0" fontId="8" fillId="3" borderId="1" pivotButton="0" quotePrefix="0" xfId="0"/>
    <xf numFmtId="0" fontId="8" fillId="4" borderId="1" pivotButton="0" quotePrefix="0" xfId="0"/>
    <xf numFmtId="0" fontId="8" fillId="5" borderId="1" pivotButton="0" quotePrefix="0" xfId="0"/>
    <xf numFmtId="0" fontId="8" fillId="6" borderId="1" pivotButton="0" quotePrefix="0" xfId="0"/>
    <xf numFmtId="0" fontId="8" fillId="7" borderId="1" pivotButton="0" quotePrefix="0" xfId="0"/>
    <xf numFmtId="0" fontId="7" fillId="0" borderId="0" pivotButton="0" quotePrefix="0" xfId="0"/>
    <xf numFmtId="0" fontId="6" fillId="6" borderId="1" pivotButton="0" quotePrefix="0" xfId="0"/>
    <xf numFmtId="0" fontId="9" fillId="0" borderId="0" applyAlignment="1" pivotButton="0" quotePrefix="0" xfId="0">
      <alignment horizontal="right"/>
    </xf>
    <xf numFmtId="1" fontId="6" fillId="0" borderId="0" pivotButton="0" quotePrefix="0" xfId="0"/>
    <xf numFmtId="0" fontId="10" fillId="0" borderId="0" pivotButton="0" quotePrefix="0" xfId="0"/>
    <xf numFmtId="1" fontId="11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0" fontId="13" fillId="0" borderId="0" applyAlignment="1" pivotButton="0" quotePrefix="0" xfId="0">
      <alignment horizontal="right"/>
    </xf>
    <xf numFmtId="0" fontId="0" fillId="0" borderId="8" pivotButton="0" quotePrefix="0" xfId="0"/>
    <xf numFmtId="0" fontId="4" fillId="0" borderId="9" applyAlignment="1" pivotButton="0" quotePrefix="0" xfId="0">
      <alignment horizontal="left" vertical="center" readingOrder="2"/>
    </xf>
    <xf numFmtId="0" fontId="0" fillId="2" borderId="8" pivotButton="0" quotePrefix="0" xfId="0"/>
    <xf numFmtId="0" fontId="0" fillId="2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4" fillId="0" borderId="10" applyAlignment="1" pivotButton="0" quotePrefix="0" xfId="0">
      <alignment horizontal="left" vertical="center" readingOrder="2"/>
    </xf>
    <xf numFmtId="0" fontId="4" fillId="0" borderId="12" applyAlignment="1" pivotButton="0" quotePrefix="0" xfId="0">
      <alignment horizontal="left" vertical="center" readingOrder="2"/>
    </xf>
    <xf numFmtId="0" fontId="15" fillId="0" borderId="1" pivotButton="0" quotePrefix="0" xfId="0"/>
    <xf numFmtId="1" fontId="15" fillId="0" borderId="1" pivotButton="0" quotePrefix="0" xfId="0"/>
    <xf numFmtId="1" fontId="16" fillId="0" borderId="1" pivotButton="0" quotePrefix="0" xfId="0"/>
    <xf numFmtId="0" fontId="0" fillId="8" borderId="1" pivotButton="0" quotePrefix="0" xfId="0"/>
    <xf numFmtId="0" fontId="6" fillId="7" borderId="1" pivotButton="0" quotePrefix="0" xfId="0"/>
    <xf numFmtId="0" fontId="6" fillId="3" borderId="1" pivotButton="0" quotePrefix="0" xfId="0"/>
    <xf numFmtId="0" fontId="17" fillId="3" borderId="1" pivotButton="0" quotePrefix="0" xfId="0"/>
    <xf numFmtId="0" fontId="7" fillId="3" borderId="1" pivotButton="0" quotePrefix="0" xfId="0"/>
    <xf numFmtId="0" fontId="17" fillId="4" borderId="1" pivotButton="0" quotePrefix="0" xfId="0"/>
    <xf numFmtId="0" fontId="17" fillId="5" borderId="1" pivotButton="0" quotePrefix="0" xfId="0"/>
    <xf numFmtId="0" fontId="17" fillId="6" borderId="1" pivotButton="0" quotePrefix="0" xfId="0"/>
    <xf numFmtId="0" fontId="17" fillId="7" borderId="1" pivotButton="0" quotePrefix="0" xfId="0"/>
    <xf numFmtId="0" fontId="17" fillId="8" borderId="1" pivotButton="0" quotePrefix="0" xfId="0"/>
    <xf numFmtId="165" fontId="0" fillId="0" borderId="0" pivotButton="0" quotePrefix="0" xfId="0"/>
    <xf numFmtId="166" fontId="15" fillId="0" borderId="1" applyAlignment="1" pivotButton="0" quotePrefix="0" xfId="0">
      <alignment horizontal="right"/>
    </xf>
    <xf numFmtId="167" fontId="15" fillId="0" borderId="1" applyAlignment="1" pivotButton="0" quotePrefix="0" xfId="0">
      <alignment horizontal="right"/>
    </xf>
    <xf numFmtId="168" fontId="15" fillId="0" borderId="1" pivotButton="0" quotePrefix="0" xfId="0"/>
    <xf numFmtId="169" fontId="15" fillId="0" borderId="1" applyAlignment="1" pivotButton="0" quotePrefix="0" xfId="2">
      <alignment horizontal="right"/>
    </xf>
    <xf numFmtId="169" fontId="15" fillId="0" borderId="1" pivotButton="0" quotePrefix="0" xfId="0"/>
    <xf numFmtId="169" fontId="6" fillId="0" borderId="0" applyAlignment="1" pivotButton="0" quotePrefix="0" xfId="2">
      <alignment horizontal="right"/>
    </xf>
    <xf numFmtId="168" fontId="6" fillId="0" borderId="11" pivotButton="0" quotePrefix="0" xfId="0"/>
    <xf numFmtId="168" fontId="15" fillId="0" borderId="1" pivotButton="0" quotePrefix="0" xfId="0"/>
    <xf numFmtId="169" fontId="15" fillId="0" borderId="1" applyAlignment="1" pivotButton="0" quotePrefix="0" xfId="2">
      <alignment horizontal="right"/>
    </xf>
    <xf numFmtId="169" fontId="15" fillId="0" borderId="1" pivotButton="0" quotePrefix="0" xfId="0"/>
    <xf numFmtId="169" fontId="6" fillId="0" borderId="0" applyAlignment="1" pivotButton="0" quotePrefix="0" xfId="2">
      <alignment horizontal="right"/>
    </xf>
    <xf numFmtId="168" fontId="6" fillId="0" borderId="11" pivotButton="0" quotePrefix="0" xfId="0"/>
    <xf numFmtId="165" fontId="0" fillId="0" borderId="0" pivotButton="0" quotePrefix="0" xfId="0"/>
  </cellXfs>
  <cellStyles count="3">
    <cellStyle name="عادي" xfId="0" builtinId="0"/>
    <cellStyle name="عادي 2" xfId="1"/>
    <cellStyle name="Comma" xfId="2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AR4"/>
  <sheetViews>
    <sheetView rightToLeft="1" topLeftCell="K1" workbookViewId="0">
      <selection activeCell="K3" sqref="K3"/>
    </sheetView>
  </sheetViews>
  <sheetFormatPr baseColWidth="8" defaultRowHeight="13.8"/>
  <cols>
    <col width="9" bestFit="1" customWidth="1" min="1" max="2"/>
    <col width="11.5" bestFit="1" customWidth="1" min="3" max="3"/>
    <col width="9" bestFit="1" customWidth="1" min="4" max="4"/>
    <col width="3.69921875" bestFit="1" customWidth="1" min="7" max="7"/>
    <col width="5" bestFit="1" customWidth="1" min="8" max="8"/>
    <col width="9" bestFit="1" customWidth="1" min="10" max="12"/>
    <col width="5.3984375" bestFit="1" customWidth="1" min="14" max="14"/>
    <col width="9" bestFit="1" customWidth="1" min="15" max="16"/>
    <col width="9.5" bestFit="1" customWidth="1" min="17" max="17"/>
    <col width="9" bestFit="1" customWidth="1" min="22" max="22"/>
    <col width="10.796875" bestFit="1" customWidth="1" min="28" max="28"/>
    <col width="9" bestFit="1" customWidth="1" min="29" max="32"/>
    <col width="8.796875" customWidth="1" min="41" max="41"/>
    <col width="13" bestFit="1" customWidth="1" min="42" max="42"/>
    <col width="9.69921875" bestFit="1" customWidth="1" min="43" max="43"/>
  </cols>
  <sheetData>
    <row r="1" ht="14.4" customHeight="1" thickBot="1">
      <c r="A1" s="1" t="inlineStr">
        <is>
          <t>خيارات اكثر</t>
        </is>
      </c>
      <c r="B1" s="2" t="inlineStr">
        <is>
          <t xml:space="preserve">تاريخ  الفاتورة </t>
        </is>
      </c>
      <c r="C1" s="2" t="inlineStr">
        <is>
          <t>وقت ادخال الفاتورة</t>
        </is>
      </c>
      <c r="D1" s="3" t="inlineStr">
        <is>
          <t>رقم الفاتورة</t>
        </is>
      </c>
      <c r="E1" s="4" t="inlineStr">
        <is>
          <t>اسم المزارع الرباعي الكامل</t>
        </is>
      </c>
      <c r="F1" s="4" t="inlineStr">
        <is>
          <t>​ اسم المشتري</t>
        </is>
      </c>
      <c r="G1" s="5" t="inlineStr">
        <is>
          <t>العدد</t>
        </is>
      </c>
      <c r="H1" s="4" t="inlineStr">
        <is>
          <t>​ السعر</t>
        </is>
      </c>
      <c r="I1" s="4" t="inlineStr">
        <is>
          <t>نوع المحصول</t>
        </is>
      </c>
      <c r="J1" s="4" t="inlineStr">
        <is>
          <t>الدلاله</t>
        </is>
      </c>
      <c r="K1" s="4" t="inlineStr">
        <is>
          <t>​إجمالي القيمة</t>
        </is>
      </c>
      <c r="L1" s="4" t="inlineStr">
        <is>
          <t>​ رسوم مكتب</t>
        </is>
      </c>
      <c r="M1" s="4" t="inlineStr">
        <is>
          <t>​ الباقي بعد المكتب</t>
        </is>
      </c>
      <c r="N1" s="4" t="inlineStr">
        <is>
          <t>​الزكاة</t>
        </is>
      </c>
      <c r="O1" s="4" t="inlineStr">
        <is>
          <t>​ صافي المبلغ</t>
        </is>
      </c>
      <c r="P1" s="4" t="inlineStr">
        <is>
          <t>​المبلغ المدفوع</t>
        </is>
      </c>
      <c r="Q1" s="4" t="inlineStr">
        <is>
          <t>الباقي من صافي المبلغ</t>
        </is>
      </c>
      <c r="R1" s="4" t="inlineStr">
        <is>
          <t>اسم الدلال</t>
        </is>
      </c>
      <c r="S1" s="4" t="inlineStr">
        <is>
          <t>اسم محصل الزكاه</t>
        </is>
      </c>
      <c r="T1" s="4" t="inlineStr">
        <is>
          <t>​ رقم تلفون الرعوي</t>
        </is>
      </c>
      <c r="U1" s="4" t="inlineStr">
        <is>
          <t>​ رقم تلفون المشتري</t>
        </is>
      </c>
      <c r="V1" s="1" t="inlineStr">
        <is>
          <t>مدفوع من</t>
        </is>
      </c>
      <c r="W1" s="1" t="inlineStr">
        <is>
          <t>طريقه الدفع</t>
        </is>
      </c>
      <c r="X1" s="1" t="inlineStr">
        <is>
          <t>ملاحظه الدفع</t>
        </is>
      </c>
      <c r="Y1" s="1" t="inlineStr">
        <is>
          <t>الضمين على المشتري</t>
        </is>
      </c>
      <c r="Z1" s="1" t="inlineStr">
        <is>
          <t>هل يحول المبلغ باسم (وكيل الرعوي)</t>
        </is>
      </c>
      <c r="AA1" s="1" t="inlineStr">
        <is>
          <t>اسم وكيل الرعوي</t>
        </is>
      </c>
      <c r="AB1" s="1" t="inlineStr">
        <is>
          <t>رقم تلفون وكيل الرعوي</t>
        </is>
      </c>
      <c r="AC1" s="4" t="inlineStr">
        <is>
          <t>نسبة رسوم المكتب (5%)</t>
        </is>
      </c>
      <c r="AD1" s="4" t="inlineStr">
        <is>
          <t>نسبة الزكاة  (4%)</t>
        </is>
      </c>
      <c r="AE1" s="1" t="inlineStr">
        <is>
          <t>خصم رسوم المكتب %</t>
        </is>
      </c>
      <c r="AF1" s="1" t="inlineStr">
        <is>
          <t>خصم من الزكاة%</t>
        </is>
      </c>
      <c r="AG1" s="4" t="inlineStr">
        <is>
          <t>هل يوجد التكلفه على الرعوي</t>
        </is>
      </c>
      <c r="AH1" s="4" t="inlineStr">
        <is>
          <t>التكلفه للوحده</t>
        </is>
      </c>
      <c r="AI1" s="1" t="inlineStr">
        <is>
          <t>اجمالي</t>
        </is>
      </c>
      <c r="AJ1" s="1" t="inlineStr">
        <is>
          <t>الصافي بعد خصم التكلفه</t>
        </is>
      </c>
      <c r="AK1" s="4" t="inlineStr">
        <is>
          <t>هل يوجد التكلفه على المشتري</t>
        </is>
      </c>
      <c r="AL1" s="4" t="inlineStr">
        <is>
          <t>التكلفه للوحده</t>
        </is>
      </c>
      <c r="AM1" s="1" t="inlineStr">
        <is>
          <t>اجمالي التكلفه</t>
        </is>
      </c>
      <c r="AN1" s="4" t="inlineStr">
        <is>
          <t>نوع التكلفه</t>
        </is>
      </c>
      <c r="AO1" s="4" t="inlineStr">
        <is>
          <t xml:space="preserve">اجمالي الفاتوره على المشتري </t>
        </is>
      </c>
      <c r="AP1" s="2" t="inlineStr">
        <is>
          <t xml:space="preserve">رقم حساب المزارع </t>
        </is>
      </c>
      <c r="AQ1" s="2" t="inlineStr">
        <is>
          <t>رقم حساب المشتري</t>
        </is>
      </c>
      <c r="AR1" s="6" t="inlineStr">
        <is>
          <t>ملاحظه الفاتوره</t>
        </is>
      </c>
    </row>
    <row r="2" ht="14.4" customHeight="1">
      <c r="A2" s="40" t="inlineStr">
        <is>
          <t>InvoiceType_more_options</t>
        </is>
      </c>
      <c r="B2" s="41" t="inlineStr">
        <is>
          <t>InvoiceDate</t>
        </is>
      </c>
      <c r="C2" s="41" t="inlineStr">
        <is>
          <t>InvoiceTime</t>
        </is>
      </c>
      <c r="D2" s="41" t="inlineStr">
        <is>
          <t>InvoiceNo</t>
        </is>
      </c>
      <c r="E2" s="42" t="inlineStr">
        <is>
          <t>CboxFarmerName</t>
        </is>
      </c>
      <c r="F2" s="42" t="inlineStr">
        <is>
          <t>CboxBuyerName</t>
        </is>
      </c>
      <c r="G2" s="41" t="inlineStr">
        <is>
          <t>Qty</t>
        </is>
      </c>
      <c r="H2" s="41" t="inlineStr">
        <is>
          <t>Price</t>
        </is>
      </c>
      <c r="I2" s="41" t="inlineStr">
        <is>
          <t>CropType</t>
        </is>
      </c>
      <c r="J2" s="41" t="inlineStr">
        <is>
          <t>BrokerFee</t>
        </is>
      </c>
      <c r="K2" s="41" t="inlineStr">
        <is>
          <t>TotalAmount</t>
        </is>
      </c>
      <c r="L2" s="41" t="inlineStr">
        <is>
          <t>OfficeFee</t>
        </is>
      </c>
      <c r="M2" s="42" t="inlineStr">
        <is>
          <t>AfterFee</t>
        </is>
      </c>
      <c r="N2" s="41" t="inlineStr">
        <is>
          <t>Zakat</t>
        </is>
      </c>
      <c r="O2" s="41" t="inlineStr">
        <is>
          <t>NetFarmer</t>
        </is>
      </c>
      <c r="P2" s="41" t="inlineStr">
        <is>
          <t>PaidAmount</t>
        </is>
      </c>
      <c r="Q2" s="41" t="inlineStr">
        <is>
          <t>RemainingFromNet</t>
        </is>
      </c>
      <c r="R2" s="41" t="inlineStr">
        <is>
          <t>BrokerName</t>
        </is>
      </c>
      <c r="S2" s="41" t="inlineStr">
        <is>
          <t>ZakatCollectorName</t>
        </is>
      </c>
      <c r="T2" s="43" t="inlineStr">
        <is>
          <t>FarmerPhone</t>
        </is>
      </c>
      <c r="U2" s="43" t="inlineStr">
        <is>
          <t>BuyerPhone</t>
        </is>
      </c>
      <c r="V2" s="41" t="inlineStr">
        <is>
          <t>PaidAmountBy</t>
        </is>
      </c>
      <c r="W2" s="41" t="inlineStr">
        <is>
          <t>PayMethod</t>
        </is>
      </c>
      <c r="X2" s="41" t="inlineStr">
        <is>
          <t>PayNote</t>
        </is>
      </c>
      <c r="Y2" s="44" t="inlineStr">
        <is>
          <t>BuyerGuarantor</t>
        </is>
      </c>
      <c r="Z2" s="41" t="inlineStr">
        <is>
          <t>CheckBoxTransferToAgentFarmer</t>
        </is>
      </c>
      <c r="AA2" s="41" t="inlineStr">
        <is>
          <t>CBoxNameOfAgentFarmer</t>
        </is>
      </c>
      <c r="AB2" s="41" t="inlineStr">
        <is>
          <t>AgentPhone</t>
        </is>
      </c>
      <c r="AC2" s="44" t="inlineStr">
        <is>
          <t>OfficeFeePercent</t>
        </is>
      </c>
      <c r="AD2" s="44" t="inlineStr">
        <is>
          <t>ZakatPercent</t>
        </is>
      </c>
      <c r="AE2" s="44" t="inlineStr">
        <is>
          <t>OfficeDeductionPercent</t>
        </is>
      </c>
      <c r="AF2" s="44" t="inlineStr">
        <is>
          <t>ZakatDeductionPercent</t>
        </is>
      </c>
      <c r="AG2" s="45" t="inlineStr">
        <is>
          <t>CheckBoxOtherCostsOnFramer</t>
        </is>
      </c>
      <c r="AH2" s="45" t="inlineStr">
        <is>
          <t>UnitCostOnFarmer</t>
        </is>
      </c>
      <c r="AI2" s="45" t="inlineStr">
        <is>
          <t>FarmerTotalCosts</t>
        </is>
      </c>
      <c r="AJ2" s="45" t="inlineStr">
        <is>
          <t>NetAfterFarmerCosts</t>
        </is>
      </c>
      <c r="AK2" s="45" t="inlineStr">
        <is>
          <t>CheckBoxOtherCostsOnBuyer</t>
        </is>
      </c>
      <c r="AL2" s="45" t="inlineStr">
        <is>
          <t>UnitCostOnBuyer</t>
        </is>
      </c>
      <c r="AM2" s="45" t="inlineStr">
        <is>
          <t>TotalOtherCostsOnBuyer</t>
        </is>
      </c>
      <c r="AN2" s="45" t="inlineStr">
        <is>
          <t>TypeOtherCostOnBuyer</t>
        </is>
      </c>
      <c r="AO2" s="41" t="inlineStr">
        <is>
          <t>TotalAmountOnBuyer</t>
        </is>
      </c>
      <c r="AP2" s="40" t="inlineStr">
        <is>
          <t>Farmer_subAccountCode</t>
        </is>
      </c>
      <c r="AQ2" s="41" t="inlineStr">
        <is>
          <t>Buyer_subAccountCode</t>
        </is>
      </c>
      <c r="AR2" s="9" t="inlineStr">
        <is>
          <t>InvoiceNote</t>
        </is>
      </c>
    </row>
    <row r="3" ht="13.2" customFormat="1" customHeight="1" s="47">
      <c r="A3" s="47" t="b">
        <v>1</v>
      </c>
      <c r="B3" s="61" t="n">
        <v>46221</v>
      </c>
      <c r="C3" s="62" t="n">
        <v>46221</v>
      </c>
      <c r="D3" s="48" t="n">
        <v>595</v>
      </c>
      <c r="E3" s="47" t="inlineStr">
        <is>
          <t>عبدالرحمن حمد جريم</t>
        </is>
      </c>
      <c r="F3" s="47" t="inlineStr">
        <is>
          <t>احمد الحبيشي</t>
        </is>
      </c>
      <c r="G3" s="49" t="n">
        <v>35</v>
      </c>
      <c r="H3" s="49" t="n">
        <v>3500</v>
      </c>
      <c r="I3" s="47" t="inlineStr">
        <is>
          <t>بصل</t>
        </is>
      </c>
      <c r="J3" s="68" t="n">
        <v>100</v>
      </c>
      <c r="K3" s="68" t="n">
        <v>122500</v>
      </c>
      <c r="L3" s="68" t="n">
        <v>6200</v>
      </c>
      <c r="N3" s="68" t="n">
        <v>4700</v>
      </c>
      <c r="O3" s="68" t="n">
        <v>111600</v>
      </c>
      <c r="P3" s="69" t="n">
        <v>11600</v>
      </c>
      <c r="Q3" s="70">
        <f>O3-P3</f>
        <v/>
      </c>
      <c r="R3" s="47" t="inlineStr">
        <is>
          <t>علي ناصر علاء</t>
        </is>
      </c>
      <c r="S3" s="47" t="inlineStr">
        <is>
          <t>علي محمد همدان</t>
        </is>
      </c>
      <c r="V3" s="47">
        <f>F3</f>
        <v/>
      </c>
      <c r="W3" s="47" t="inlineStr">
        <is>
          <t>نقدا</t>
        </is>
      </c>
      <c r="Z3" s="47" t="inlineStr">
        <is>
          <t>Yes</t>
        </is>
      </c>
      <c r="AA3" s="47" t="inlineStr">
        <is>
          <t>عايض غالب حليس الحسيني</t>
        </is>
      </c>
      <c r="AB3" s="47" t="n">
        <v>717098251</v>
      </c>
      <c r="AC3" s="47" t="n">
        <v>0.05</v>
      </c>
      <c r="AD3" s="47" t="n">
        <v>0.04</v>
      </c>
      <c r="AE3" s="47" t="n">
        <v>0</v>
      </c>
      <c r="AF3" s="47" t="n">
        <v>0</v>
      </c>
      <c r="AG3" s="47" t="inlineStr">
        <is>
          <t>No</t>
        </is>
      </c>
      <c r="AK3" s="47" t="inlineStr">
        <is>
          <t>No</t>
        </is>
      </c>
      <c r="AO3" s="68">
        <f>(G3*H3)+G3*J3</f>
        <v/>
      </c>
      <c r="AP3" s="47" t="n">
        <v>21101001</v>
      </c>
      <c r="AQ3" s="47" t="n">
        <v>11201001</v>
      </c>
      <c r="AR3" s="47" t="inlineStr">
        <is>
          <t>ادخال يدوي</t>
        </is>
      </c>
    </row>
    <row r="4" ht="16.2" customHeight="1" thickBot="1">
      <c r="B4" s="33" t="n"/>
      <c r="C4" s="34" t="n"/>
      <c r="D4" s="35" t="n"/>
      <c r="E4" s="35" t="n"/>
      <c r="F4" s="34" t="n"/>
      <c r="G4" s="36" t="n"/>
      <c r="H4" s="37" t="n"/>
      <c r="I4" s="24" t="n"/>
      <c r="J4" s="24" t="n"/>
      <c r="K4" s="24" t="n"/>
      <c r="L4" s="38" t="n"/>
      <c r="M4" s="71" t="n"/>
      <c r="N4" s="24" t="n"/>
      <c r="O4" s="24" t="n"/>
      <c r="P4" s="24" t="n"/>
      <c r="Q4" s="71" t="n"/>
      <c r="R4" s="24" t="n"/>
      <c r="S4" s="24" t="n"/>
      <c r="U4" s="24" t="n"/>
      <c r="V4" s="24" t="n"/>
      <c r="Y4" s="39" t="n"/>
      <c r="Z4" s="39" t="n"/>
      <c r="AO4" s="72" t="n"/>
      <c r="AP4" s="46" t="n"/>
    </row>
  </sheetData>
  <conditionalFormatting sqref="D3">
    <cfRule type="duplicateValues" priority="1" dxfId="0"/>
    <cfRule type="duplicateValues" priority="2" dxfId="0"/>
    <cfRule type="duplicateValues" priority="13" dxfId="0"/>
    <cfRule type="duplicateValues" priority="14" dxfId="0"/>
    <cfRule type="duplicateValues" priority="15" dxfId="0"/>
    <cfRule type="duplicateValues" priority="16" dxfId="0"/>
  </conditionalFormatting>
  <dataValidations count="1">
    <dataValidation sqref="G4 H3" showDropDown="0" showInputMessage="1" showErrorMessage="1" allowBlank="0" type="whole" operator="greaterThanOrEqual">
      <formula1>1000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V51"/>
  <sheetViews>
    <sheetView rightToLeft="1" topLeftCell="A37" workbookViewId="0">
      <selection activeCell="A1" sqref="A1:A2"/>
    </sheetView>
  </sheetViews>
  <sheetFormatPr baseColWidth="8" defaultRowHeight="13.8"/>
  <cols>
    <col width="8.8984375" bestFit="1" customWidth="1" style="7" min="1" max="1"/>
    <col width="22.19921875" customWidth="1" style="7" min="2" max="2"/>
    <col width="12.19921875" bestFit="1" customWidth="1" style="7" min="3" max="3"/>
    <col width="13.296875" customWidth="1" style="7" min="4" max="4"/>
    <col width="8.796875" customWidth="1" style="7" min="5" max="10"/>
    <col width="8.796875" customWidth="1" style="7" min="11" max="16384"/>
  </cols>
  <sheetData>
    <row r="1">
      <c r="A1" s="1" t="inlineStr">
        <is>
          <t>رقم الحساب</t>
        </is>
      </c>
      <c r="B1" s="18" t="inlineStr">
        <is>
          <t>اسم المزارع</t>
        </is>
      </c>
      <c r="C1" s="18" t="inlineStr">
        <is>
          <t>رقم الهاتف الرئيسي</t>
        </is>
      </c>
      <c r="D1" s="18" t="inlineStr">
        <is>
          <t>رقم هاتف الواتساب</t>
        </is>
      </c>
      <c r="E1" s="18" t="inlineStr">
        <is>
          <t>المحافظة</t>
        </is>
      </c>
      <c r="F1" s="18" t="inlineStr">
        <is>
          <t>المديريه</t>
        </is>
      </c>
      <c r="G1" s="18" t="inlineStr">
        <is>
          <t>الرصيد الافتتاحي</t>
        </is>
      </c>
      <c r="H1" s="18" t="inlineStr">
        <is>
          <t>الرصيد الحالي</t>
        </is>
      </c>
      <c r="I1" s="18" t="inlineStr">
        <is>
          <t>نسبة عمولة المكتب له</t>
        </is>
      </c>
      <c r="J1" s="18" t="inlineStr">
        <is>
          <t>نسبة الزكاة</t>
        </is>
      </c>
      <c r="K1" s="18" t="inlineStr">
        <is>
          <t>اسم الوكيل المالي</t>
        </is>
      </c>
      <c r="L1" s="18" t="inlineStr">
        <is>
          <t>أهم المحاصيل</t>
        </is>
      </c>
      <c r="M1" s="18" t="inlineStr">
        <is>
          <t>حالة المزارع</t>
        </is>
      </c>
      <c r="N1" s="18" t="inlineStr">
        <is>
          <t>ملاحظات خاصة بالتعامل.</t>
        </is>
      </c>
      <c r="O1" s="8" t="inlineStr">
        <is>
          <t>تاريخ الاضافه</t>
        </is>
      </c>
    </row>
    <row r="2">
      <c r="A2" t="n">
        <v>21101001</v>
      </c>
      <c r="B2" s="7" t="inlineStr">
        <is>
          <t>احمد محمد صالح حمامه</t>
        </is>
      </c>
      <c r="C2" s="7" t="n">
        <v>715677790</v>
      </c>
      <c r="D2" s="7" t="n">
        <v>780811808</v>
      </c>
      <c r="E2" s="7" t="inlineStr">
        <is>
          <t>الجوف</t>
        </is>
      </c>
      <c r="F2" s="7" t="inlineStr">
        <is>
          <t>السيل</t>
        </is>
      </c>
      <c r="G2" s="7" t="n">
        <v>10000</v>
      </c>
      <c r="H2" s="7" t="n">
        <v>2000</v>
      </c>
      <c r="I2" s="7" t="n">
        <v>0.05</v>
      </c>
      <c r="J2" s="7" t="n">
        <v>0.04</v>
      </c>
      <c r="K2" s="7" t="inlineStr">
        <is>
          <t>احمد محمد صالح حمامه</t>
        </is>
      </c>
      <c r="L2" s="7" t="inlineStr">
        <is>
          <t>بصل</t>
        </is>
      </c>
      <c r="M2" s="7" t="n">
        <v>1</v>
      </c>
      <c r="N2" s="7" t="inlineStr">
        <is>
          <t>جوده عاليه</t>
        </is>
      </c>
    </row>
    <row r="3">
      <c r="A3" t="n">
        <v>21101002</v>
      </c>
      <c r="B3" s="7" t="inlineStr">
        <is>
          <t>جابر علي محمد عمر</t>
        </is>
      </c>
      <c r="C3" s="7" t="n">
        <v>713401117</v>
      </c>
      <c r="D3" s="7" t="n">
        <v>780811808</v>
      </c>
      <c r="E3" s="7" t="inlineStr">
        <is>
          <t>الجوف</t>
        </is>
      </c>
      <c r="F3" s="7" t="inlineStr">
        <is>
          <t>الساعد</t>
        </is>
      </c>
      <c r="G3" s="7" t="n">
        <v>10001</v>
      </c>
      <c r="H3" s="7" t="n">
        <v>2001</v>
      </c>
      <c r="I3" s="7" t="n">
        <v>0.05</v>
      </c>
      <c r="J3" s="7" t="n">
        <v>0.04</v>
      </c>
      <c r="K3" s="7" t="inlineStr">
        <is>
          <t>جابر علي محمد عمر</t>
        </is>
      </c>
      <c r="L3" s="7" t="inlineStr">
        <is>
          <t>بصل</t>
        </is>
      </c>
      <c r="M3" s="7" t="n">
        <v>0</v>
      </c>
      <c r="N3" s="7" t="inlineStr">
        <is>
          <t>جوده عاليه</t>
        </is>
      </c>
      <c r="U3" t="inlineStr">
        <is>
          <t>الجوف</t>
        </is>
      </c>
      <c r="V3" t="inlineStr">
        <is>
          <t>السيل</t>
        </is>
      </c>
    </row>
    <row r="4">
      <c r="A4" t="n">
        <v>21101003</v>
      </c>
      <c r="B4" s="7" t="inlineStr">
        <is>
          <t>جمال علي يحي العمري</t>
        </is>
      </c>
      <c r="C4" s="7" t="n">
        <v>713961280</v>
      </c>
      <c r="D4" s="7" t="n">
        <v>780811808</v>
      </c>
      <c r="E4" s="7" t="inlineStr">
        <is>
          <t>الجوف</t>
        </is>
      </c>
      <c r="F4" s="7" t="inlineStr">
        <is>
          <t>السيل</t>
        </is>
      </c>
      <c r="G4" s="7" t="n">
        <v>10002</v>
      </c>
      <c r="H4" s="7" t="n">
        <v>2002</v>
      </c>
      <c r="I4" s="7" t="n">
        <v>0.05</v>
      </c>
      <c r="J4" s="7" t="n">
        <v>0.04</v>
      </c>
      <c r="K4" s="7" t="inlineStr">
        <is>
          <t>جمال علي يحي العمري</t>
        </is>
      </c>
      <c r="L4" s="7" t="inlineStr">
        <is>
          <t>بصل</t>
        </is>
      </c>
      <c r="M4" s="7" t="n">
        <v>1</v>
      </c>
      <c r="N4" s="7" t="inlineStr">
        <is>
          <t>جوده عاليه</t>
        </is>
      </c>
      <c r="U4" t="inlineStr">
        <is>
          <t>صعده</t>
        </is>
      </c>
      <c r="V4" t="inlineStr">
        <is>
          <t>مجزر</t>
        </is>
      </c>
    </row>
    <row r="5">
      <c r="A5" t="n">
        <v>21101004</v>
      </c>
      <c r="B5" s="7" t="inlineStr">
        <is>
          <t>جميل محمد حسن صليم</t>
        </is>
      </c>
      <c r="C5" s="7" t="n">
        <v>717202116</v>
      </c>
      <c r="D5" s="7" t="n">
        <v>780811808</v>
      </c>
      <c r="E5" s="7" t="inlineStr">
        <is>
          <t>الجوف</t>
        </is>
      </c>
      <c r="F5" s="7" t="inlineStr">
        <is>
          <t>الحزم</t>
        </is>
      </c>
      <c r="G5" s="7" t="n">
        <v>10003</v>
      </c>
      <c r="H5" s="7" t="n">
        <v>2003</v>
      </c>
      <c r="I5" s="7" t="n">
        <v>0.05</v>
      </c>
      <c r="J5" s="7" t="n">
        <v>0.04</v>
      </c>
      <c r="K5" s="7" t="inlineStr">
        <is>
          <t>جميل محمد حسن صليم</t>
        </is>
      </c>
      <c r="L5" s="7" t="inlineStr">
        <is>
          <t>بصل</t>
        </is>
      </c>
      <c r="M5" s="7" t="n">
        <v>1</v>
      </c>
      <c r="N5" s="7" t="inlineStr">
        <is>
          <t>جوده عاليه</t>
        </is>
      </c>
      <c r="U5" t="inlineStr">
        <is>
          <t>صعده</t>
        </is>
      </c>
    </row>
    <row r="6">
      <c r="A6" t="n">
        <v>21101005</v>
      </c>
      <c r="B6" s="7" t="inlineStr">
        <is>
          <t>حامس محمد محمد مريط</t>
        </is>
      </c>
      <c r="C6" s="7" t="n">
        <v>715821221</v>
      </c>
      <c r="D6" s="7" t="n">
        <v>780811808</v>
      </c>
      <c r="E6" s="7" t="inlineStr">
        <is>
          <t>الجوف</t>
        </is>
      </c>
      <c r="F6" s="7" t="inlineStr">
        <is>
          <t>السيل</t>
        </is>
      </c>
      <c r="G6" s="7" t="n">
        <v>10004</v>
      </c>
      <c r="H6" s="7" t="n">
        <v>2004</v>
      </c>
      <c r="I6" s="7" t="n">
        <v>0.05</v>
      </c>
      <c r="J6" s="7" t="n">
        <v>0.04</v>
      </c>
      <c r="K6" s="7" t="inlineStr">
        <is>
          <t>حامس محمد محمد مريط</t>
        </is>
      </c>
      <c r="L6" s="7" t="inlineStr">
        <is>
          <t>بصل</t>
        </is>
      </c>
      <c r="M6" s="7" t="n">
        <v>1</v>
      </c>
      <c r="N6" s="7" t="inlineStr">
        <is>
          <t>جوده عاليه</t>
        </is>
      </c>
      <c r="U6" t="inlineStr">
        <is>
          <t>صنعاء</t>
        </is>
      </c>
      <c r="V6" t="inlineStr">
        <is>
          <t>الحيمه</t>
        </is>
      </c>
    </row>
    <row r="7">
      <c r="A7" t="n">
        <v>21101006</v>
      </c>
      <c r="B7" s="7" t="inlineStr">
        <is>
          <t>حسن صالح عوضه السيفي</t>
        </is>
      </c>
      <c r="C7" s="7" t="n">
        <v>784924686</v>
      </c>
      <c r="D7" s="7" t="n">
        <v>780811808</v>
      </c>
      <c r="E7" s="7" t="inlineStr">
        <is>
          <t>الجوف</t>
        </is>
      </c>
      <c r="F7" s="7" t="inlineStr">
        <is>
          <t>السيل</t>
        </is>
      </c>
      <c r="G7" s="7" t="n">
        <v>10005</v>
      </c>
      <c r="H7" s="7" t="n">
        <v>2005</v>
      </c>
      <c r="I7" s="7" t="n">
        <v>0.05</v>
      </c>
      <c r="J7" s="7" t="n">
        <v>0.04</v>
      </c>
      <c r="K7" s="7" t="inlineStr">
        <is>
          <t>حسن صالح عوضه السيفي</t>
        </is>
      </c>
      <c r="L7" s="7" t="inlineStr">
        <is>
          <t>بصل</t>
        </is>
      </c>
      <c r="M7" s="7" t="n">
        <v>1</v>
      </c>
      <c r="N7" s="7" t="inlineStr">
        <is>
          <t>جوده عاليه</t>
        </is>
      </c>
      <c r="U7" t="inlineStr">
        <is>
          <t>صعده</t>
        </is>
      </c>
      <c r="V7" t="inlineStr">
        <is>
          <t>الحيمه</t>
        </is>
      </c>
    </row>
    <row r="8">
      <c r="A8" t="n">
        <v>21101007</v>
      </c>
      <c r="B8" s="7" t="inlineStr">
        <is>
          <t>حميد منصور يحي العبدي</t>
        </is>
      </c>
      <c r="C8" s="7" t="n">
        <v>782904329</v>
      </c>
      <c r="D8" s="7" t="n">
        <v>780811808</v>
      </c>
      <c r="E8" s="7" t="inlineStr">
        <is>
          <t>الجوف</t>
        </is>
      </c>
      <c r="F8" s="7" t="inlineStr">
        <is>
          <t>السيل</t>
        </is>
      </c>
      <c r="G8" s="7" t="n">
        <v>10006</v>
      </c>
      <c r="H8" s="7" t="n">
        <v>2006</v>
      </c>
      <c r="I8" s="7" t="n">
        <v>0.05</v>
      </c>
      <c r="J8" s="7" t="n">
        <v>0.04</v>
      </c>
      <c r="K8" s="7" t="inlineStr">
        <is>
          <t>حميد منصور يحي العبدي</t>
        </is>
      </c>
      <c r="L8" s="7" t="inlineStr">
        <is>
          <t>بصل</t>
        </is>
      </c>
      <c r="M8" s="7" t="n">
        <v>1</v>
      </c>
      <c r="N8" s="7" t="inlineStr">
        <is>
          <t>جوده عاليه</t>
        </is>
      </c>
      <c r="U8" t="inlineStr">
        <is>
          <t>صعده</t>
        </is>
      </c>
      <c r="V8" t="inlineStr">
        <is>
          <t>الحيمه</t>
        </is>
      </c>
    </row>
    <row r="9">
      <c r="A9" t="n">
        <v>21101008</v>
      </c>
      <c r="B9" s="7" t="inlineStr">
        <is>
          <t>خالد علي احمد محسن المرهبي</t>
        </is>
      </c>
      <c r="C9" s="7" t="n">
        <v>770949574</v>
      </c>
      <c r="D9" s="7" t="n">
        <v>780811808</v>
      </c>
      <c r="E9" s="7" t="inlineStr">
        <is>
          <t>الجوف</t>
        </is>
      </c>
      <c r="F9" s="7" t="inlineStr">
        <is>
          <t>الساعد</t>
        </is>
      </c>
      <c r="G9" s="7" t="n">
        <v>10007</v>
      </c>
      <c r="H9" s="7" t="n">
        <v>2007</v>
      </c>
      <c r="I9" s="7" t="n">
        <v>0.05</v>
      </c>
      <c r="J9" s="7" t="n">
        <v>0.04</v>
      </c>
      <c r="K9" s="7" t="inlineStr">
        <is>
          <t>خالد علي احمد محسن المرهبي</t>
        </is>
      </c>
      <c r="L9" s="7" t="inlineStr">
        <is>
          <t>بصل</t>
        </is>
      </c>
      <c r="M9" s="7" t="n">
        <v>1</v>
      </c>
      <c r="N9" s="7" t="inlineStr">
        <is>
          <t>جوده عاليه</t>
        </is>
      </c>
      <c r="U9" t="inlineStr">
        <is>
          <t>صعده</t>
        </is>
      </c>
      <c r="V9" t="inlineStr">
        <is>
          <t>الحيمه</t>
        </is>
      </c>
    </row>
    <row r="10">
      <c r="A10" t="n">
        <v>21101009</v>
      </c>
      <c r="B10" s="7" t="inlineStr">
        <is>
          <t>خالد محمد صالح الصنعاني</t>
        </is>
      </c>
      <c r="C10" s="7" t="n">
        <v>774412888</v>
      </c>
      <c r="D10" s="7" t="n">
        <v>780811808</v>
      </c>
      <c r="E10" s="7" t="inlineStr">
        <is>
          <t>الجوف</t>
        </is>
      </c>
      <c r="F10" s="7" t="inlineStr">
        <is>
          <t>السيل</t>
        </is>
      </c>
      <c r="G10" s="7" t="n">
        <v>10008</v>
      </c>
      <c r="H10" s="7" t="n">
        <v>2008</v>
      </c>
      <c r="I10" s="7" t="n">
        <v>0.05</v>
      </c>
      <c r="J10" s="7" t="n">
        <v>0.04</v>
      </c>
      <c r="K10" s="7" t="inlineStr">
        <is>
          <t>خالد محمد صالح الصنعاني</t>
        </is>
      </c>
      <c r="L10" s="7" t="inlineStr">
        <is>
          <t>بصل</t>
        </is>
      </c>
      <c r="M10" s="7" t="n">
        <v>1</v>
      </c>
      <c r="N10" s="7" t="inlineStr">
        <is>
          <t>جوده عاليه</t>
        </is>
      </c>
    </row>
    <row r="11">
      <c r="A11" t="n">
        <v>21101010</v>
      </c>
      <c r="B11" s="7" t="inlineStr">
        <is>
          <t>سراج علي صالح سراج</t>
        </is>
      </c>
      <c r="C11" s="7" t="n">
        <v>778513458</v>
      </c>
      <c r="D11" s="7" t="n">
        <v>780811808</v>
      </c>
      <c r="E11" s="7" t="inlineStr">
        <is>
          <t>الجوف</t>
        </is>
      </c>
      <c r="F11" s="7" t="inlineStr">
        <is>
          <t>الحزم</t>
        </is>
      </c>
      <c r="G11" s="7" t="n">
        <v>10009</v>
      </c>
      <c r="H11" s="7" t="n">
        <v>2009</v>
      </c>
      <c r="I11" s="7" t="n">
        <v>0.05</v>
      </c>
      <c r="J11" s="7" t="n">
        <v>0.04</v>
      </c>
      <c r="K11" s="7" t="inlineStr">
        <is>
          <t>سراج علي صالح سراج</t>
        </is>
      </c>
      <c r="L11" s="7" t="inlineStr">
        <is>
          <t>بصل</t>
        </is>
      </c>
      <c r="M11" s="7" t="n">
        <v>1</v>
      </c>
      <c r="N11" s="7" t="inlineStr">
        <is>
          <t>جوده عاليه</t>
        </is>
      </c>
    </row>
    <row r="12">
      <c r="A12" t="n">
        <v>21101011</v>
      </c>
      <c r="B12" s="7" t="inlineStr">
        <is>
          <t>سمير مدهش علي حميد</t>
        </is>
      </c>
      <c r="C12" s="7" t="n">
        <v>714580287</v>
      </c>
      <c r="D12" s="7" t="n">
        <v>780811808</v>
      </c>
      <c r="E12" s="7" t="inlineStr">
        <is>
          <t>الجوف</t>
        </is>
      </c>
      <c r="F12" s="7" t="inlineStr">
        <is>
          <t>السيل</t>
        </is>
      </c>
      <c r="G12" s="7" t="n">
        <v>10010</v>
      </c>
      <c r="H12" s="7" t="n">
        <v>2010</v>
      </c>
      <c r="I12" s="7" t="n">
        <v>0.05</v>
      </c>
      <c r="J12" s="7" t="n">
        <v>0.04</v>
      </c>
      <c r="L12" s="7" t="inlineStr">
        <is>
          <t>بصل</t>
        </is>
      </c>
      <c r="M12" s="7" t="n">
        <v>1</v>
      </c>
      <c r="N12" s="7" t="inlineStr">
        <is>
          <t>جوده عاليه</t>
        </is>
      </c>
    </row>
    <row r="13">
      <c r="A13" t="n">
        <v>21101012</v>
      </c>
      <c r="B13" s="7" t="inlineStr">
        <is>
          <t>شاطر علي حمود شاطر</t>
        </is>
      </c>
      <c r="C13" s="7" t="n">
        <v>775403723</v>
      </c>
      <c r="D13" s="7" t="n">
        <v>780811808</v>
      </c>
      <c r="E13" s="7" t="inlineStr">
        <is>
          <t>الجوف</t>
        </is>
      </c>
      <c r="F13" s="7" t="inlineStr">
        <is>
          <t>السيل</t>
        </is>
      </c>
      <c r="G13" s="7" t="n">
        <v>10011</v>
      </c>
      <c r="H13" s="7" t="n">
        <v>2011</v>
      </c>
      <c r="I13" s="7" t="n">
        <v>0.05</v>
      </c>
      <c r="J13" s="7" t="n">
        <v>0.04</v>
      </c>
      <c r="L13" s="7" t="inlineStr">
        <is>
          <t>بصل</t>
        </is>
      </c>
      <c r="M13" s="7" t="n">
        <v>1</v>
      </c>
      <c r="N13" s="7" t="inlineStr">
        <is>
          <t>جوده عاليه</t>
        </is>
      </c>
    </row>
    <row r="14">
      <c r="A14" t="n">
        <v>21101013</v>
      </c>
      <c r="B14" s="7" t="inlineStr">
        <is>
          <t>شائف علي احمد شمله</t>
        </is>
      </c>
      <c r="C14" s="7" t="n">
        <v>713336931</v>
      </c>
      <c r="D14" s="7" t="n">
        <v>780811808</v>
      </c>
      <c r="E14" s="7" t="inlineStr">
        <is>
          <t>الجوف</t>
        </is>
      </c>
      <c r="F14" s="7" t="inlineStr">
        <is>
          <t>السيل</t>
        </is>
      </c>
      <c r="G14" s="7" t="n">
        <v>10012</v>
      </c>
      <c r="H14" s="7" t="n">
        <v>2012</v>
      </c>
      <c r="I14" s="7" t="n">
        <v>0.05</v>
      </c>
      <c r="J14" s="7" t="n">
        <v>0.04</v>
      </c>
      <c r="L14" s="7" t="inlineStr">
        <is>
          <t>بصل</t>
        </is>
      </c>
      <c r="M14" s="7" t="n">
        <v>1</v>
      </c>
      <c r="N14" s="7" t="inlineStr">
        <is>
          <t>جوده عاليه</t>
        </is>
      </c>
    </row>
    <row r="15">
      <c r="A15" t="n">
        <v>21101014</v>
      </c>
      <c r="B15" s="7" t="inlineStr">
        <is>
          <t>صالح بن يحي الكوكباني</t>
        </is>
      </c>
      <c r="C15" s="7" t="n">
        <v>715508268</v>
      </c>
      <c r="D15" s="7" t="n">
        <v>780811808</v>
      </c>
      <c r="E15" s="7" t="inlineStr">
        <is>
          <t>الجوف</t>
        </is>
      </c>
      <c r="F15" s="7" t="inlineStr">
        <is>
          <t>الساعد</t>
        </is>
      </c>
      <c r="G15" s="7" t="n">
        <v>10013</v>
      </c>
      <c r="H15" s="7" t="n">
        <v>2013</v>
      </c>
      <c r="I15" s="7" t="n">
        <v>0.05</v>
      </c>
      <c r="J15" s="7" t="n">
        <v>0.04</v>
      </c>
      <c r="L15" s="7" t="inlineStr">
        <is>
          <t>بصل</t>
        </is>
      </c>
      <c r="M15" s="7" t="n">
        <v>1</v>
      </c>
      <c r="N15" s="7" t="inlineStr">
        <is>
          <t>جوده عاليه</t>
        </is>
      </c>
    </row>
    <row r="16">
      <c r="A16" t="n">
        <v>21101015</v>
      </c>
      <c r="B16" s="7" t="inlineStr">
        <is>
          <t>صالح علي حزام عوضه النفوي</t>
        </is>
      </c>
      <c r="C16" s="7" t="n">
        <v>713536673</v>
      </c>
      <c r="D16" s="7" t="n">
        <v>780811808</v>
      </c>
      <c r="E16" s="7" t="inlineStr">
        <is>
          <t>الجوف</t>
        </is>
      </c>
      <c r="F16" s="7" t="inlineStr">
        <is>
          <t>السيل</t>
        </is>
      </c>
      <c r="G16" s="7" t="n">
        <v>10014</v>
      </c>
      <c r="H16" s="7" t="n">
        <v>2014</v>
      </c>
      <c r="I16" s="7" t="n">
        <v>0.05</v>
      </c>
      <c r="J16" s="7" t="n">
        <v>0.04</v>
      </c>
      <c r="L16" s="7" t="inlineStr">
        <is>
          <t>بصل</t>
        </is>
      </c>
      <c r="M16" s="7" t="n">
        <v>1</v>
      </c>
      <c r="N16" s="7" t="inlineStr">
        <is>
          <t>جوده عاليه</t>
        </is>
      </c>
    </row>
    <row r="17">
      <c r="A17" t="n">
        <v>21101016</v>
      </c>
      <c r="B17" s="7" t="inlineStr">
        <is>
          <t>عبدالرحمن حمد جريم</t>
        </is>
      </c>
      <c r="C17" s="7" t="n">
        <v>717098251</v>
      </c>
      <c r="D17" s="7" t="n">
        <v>780811808</v>
      </c>
      <c r="E17" s="7" t="inlineStr">
        <is>
          <t>الجوف</t>
        </is>
      </c>
      <c r="F17" s="7" t="inlineStr">
        <is>
          <t>الحزم</t>
        </is>
      </c>
      <c r="G17" s="7" t="n">
        <v>10015</v>
      </c>
      <c r="H17" s="7" t="n">
        <v>2015</v>
      </c>
      <c r="I17" s="7" t="n">
        <v>0.05</v>
      </c>
      <c r="J17" s="7" t="n">
        <v>0.04</v>
      </c>
      <c r="L17" s="7" t="inlineStr">
        <is>
          <t>بصل</t>
        </is>
      </c>
      <c r="M17" s="7" t="n">
        <v>1</v>
      </c>
      <c r="N17" s="7" t="inlineStr">
        <is>
          <t>جوده عاليه</t>
        </is>
      </c>
    </row>
    <row r="18">
      <c r="A18" t="n">
        <v>21101017</v>
      </c>
      <c r="B18" s="7" t="inlineStr">
        <is>
          <t>عبدالله جابر عايض الجوبي</t>
        </is>
      </c>
      <c r="C18" s="7" t="n">
        <v>777599594</v>
      </c>
      <c r="D18" s="7" t="n">
        <v>780811808</v>
      </c>
      <c r="E18" s="7" t="inlineStr">
        <is>
          <t>الجوف</t>
        </is>
      </c>
      <c r="F18" s="7" t="inlineStr">
        <is>
          <t>السيل</t>
        </is>
      </c>
      <c r="G18" s="7" t="n">
        <v>10016</v>
      </c>
      <c r="H18" s="7" t="n">
        <v>2016</v>
      </c>
      <c r="I18" s="7" t="n">
        <v>0.05</v>
      </c>
      <c r="J18" s="7" t="n">
        <v>0.04</v>
      </c>
      <c r="L18" s="7" t="inlineStr">
        <is>
          <t>بصل</t>
        </is>
      </c>
      <c r="M18" s="7" t="n">
        <v>1</v>
      </c>
      <c r="N18" s="7" t="inlineStr">
        <is>
          <t>جوده عاليه</t>
        </is>
      </c>
    </row>
    <row r="19">
      <c r="A19" t="n">
        <v>21101018</v>
      </c>
      <c r="B19" s="7" t="inlineStr">
        <is>
          <t>عبدالله حمد مرشد السداسي</t>
        </is>
      </c>
      <c r="C19" s="7" t="n">
        <v>716985868</v>
      </c>
      <c r="D19" s="7" t="n">
        <v>780811808</v>
      </c>
      <c r="E19" s="7" t="inlineStr">
        <is>
          <t>الجوف</t>
        </is>
      </c>
      <c r="F19" s="7" t="inlineStr">
        <is>
          <t>السيل</t>
        </is>
      </c>
      <c r="G19" s="7" t="n">
        <v>10017</v>
      </c>
      <c r="H19" s="7" t="n">
        <v>2017</v>
      </c>
      <c r="I19" s="7" t="n">
        <v>0.05</v>
      </c>
      <c r="J19" s="7" t="n">
        <v>0.04</v>
      </c>
      <c r="L19" s="7" t="inlineStr">
        <is>
          <t>بصل</t>
        </is>
      </c>
      <c r="M19" s="7" t="n">
        <v>1</v>
      </c>
      <c r="N19" s="7" t="inlineStr">
        <is>
          <t>جوده عاليه</t>
        </is>
      </c>
    </row>
    <row r="20">
      <c r="A20" t="n">
        <v>21101019</v>
      </c>
      <c r="B20" s="7" t="inlineStr">
        <is>
          <t>عبدالله سعيد محمد الفرجي</t>
        </is>
      </c>
      <c r="C20" s="7" t="n">
        <v>774308551</v>
      </c>
      <c r="D20" s="7" t="n">
        <v>780811808</v>
      </c>
      <c r="E20" s="7" t="inlineStr">
        <is>
          <t>الجوف</t>
        </is>
      </c>
      <c r="F20" s="7" t="inlineStr">
        <is>
          <t>السيل</t>
        </is>
      </c>
      <c r="G20" s="7" t="n">
        <v>10018</v>
      </c>
      <c r="H20" s="7" t="n">
        <v>2018</v>
      </c>
      <c r="I20" s="7" t="n">
        <v>0.05</v>
      </c>
      <c r="J20" s="7" t="n">
        <v>0.04</v>
      </c>
      <c r="L20" s="7" t="inlineStr">
        <is>
          <t>بصل</t>
        </is>
      </c>
      <c r="M20" s="7" t="n">
        <v>1</v>
      </c>
      <c r="N20" s="7" t="inlineStr">
        <is>
          <t>جوده عاليه</t>
        </is>
      </c>
    </row>
    <row r="21">
      <c r="A21" t="n">
        <v>21101020</v>
      </c>
      <c r="B21" s="7" t="inlineStr">
        <is>
          <t>عبدالله محمد حمد ستان</t>
        </is>
      </c>
      <c r="C21" s="7" t="n">
        <v>781625595</v>
      </c>
      <c r="D21" s="7" t="n">
        <v>780811808</v>
      </c>
      <c r="E21" s="7" t="inlineStr">
        <is>
          <t>الجوف</t>
        </is>
      </c>
      <c r="F21" s="7" t="inlineStr">
        <is>
          <t>الساعد</t>
        </is>
      </c>
      <c r="G21" s="7" t="n">
        <v>10019</v>
      </c>
      <c r="H21" s="7" t="n">
        <v>2019</v>
      </c>
      <c r="I21" s="7" t="n">
        <v>0.05</v>
      </c>
      <c r="J21" s="7" t="n">
        <v>0.04</v>
      </c>
      <c r="L21" s="7" t="inlineStr">
        <is>
          <t>بصل</t>
        </is>
      </c>
      <c r="M21" s="7" t="n">
        <v>1</v>
      </c>
      <c r="N21" s="7" t="inlineStr">
        <is>
          <t>جوده عاليه</t>
        </is>
      </c>
    </row>
    <row r="22">
      <c r="A22" t="n">
        <v>21101021</v>
      </c>
      <c r="B22" s="7" t="inlineStr">
        <is>
          <t>عبدالله محمد مبخوت محيسن</t>
        </is>
      </c>
      <c r="C22" s="7" t="n">
        <v>770068501</v>
      </c>
      <c r="D22" s="7" t="n">
        <v>780811808</v>
      </c>
      <c r="E22" s="7" t="inlineStr">
        <is>
          <t>الجوف</t>
        </is>
      </c>
      <c r="F22" s="7" t="inlineStr">
        <is>
          <t>السيل</t>
        </is>
      </c>
      <c r="G22" s="7" t="n">
        <v>10020</v>
      </c>
      <c r="H22" s="7" t="n">
        <v>2020</v>
      </c>
      <c r="I22" s="7" t="n">
        <v>0.05</v>
      </c>
      <c r="J22" s="7" t="n">
        <v>0.04</v>
      </c>
      <c r="L22" s="7" t="inlineStr">
        <is>
          <t>بصل</t>
        </is>
      </c>
      <c r="M22" s="7" t="n">
        <v>1</v>
      </c>
      <c r="N22" s="7" t="inlineStr">
        <is>
          <t>جوده عاليه</t>
        </is>
      </c>
    </row>
    <row r="23">
      <c r="A23" t="n">
        <v>21101022</v>
      </c>
      <c r="B23" s="7" t="inlineStr">
        <is>
          <t>عبدالله ناصر الجملي</t>
        </is>
      </c>
      <c r="C23" s="7" t="n">
        <v>775902060</v>
      </c>
      <c r="D23" s="7" t="n">
        <v>780811808</v>
      </c>
      <c r="E23" s="7" t="inlineStr">
        <is>
          <t>الجوف</t>
        </is>
      </c>
      <c r="F23" s="7" t="inlineStr">
        <is>
          <t>الحزم</t>
        </is>
      </c>
      <c r="G23" s="7" t="n">
        <v>10021</v>
      </c>
      <c r="H23" s="7" t="n">
        <v>2021</v>
      </c>
      <c r="I23" s="7" t="n">
        <v>0.05</v>
      </c>
      <c r="J23" s="7" t="n">
        <v>0.04</v>
      </c>
      <c r="L23" s="7" t="inlineStr">
        <is>
          <t>بصل</t>
        </is>
      </c>
      <c r="M23" s="7" t="n">
        <v>1</v>
      </c>
      <c r="N23" s="7" t="inlineStr">
        <is>
          <t>جوده عاليه</t>
        </is>
      </c>
    </row>
    <row r="24">
      <c r="A24" t="n">
        <v>21101023</v>
      </c>
      <c r="B24" s="7" t="inlineStr">
        <is>
          <t>عدنان فرج مبارك الزرعي</t>
        </is>
      </c>
      <c r="C24" s="7" t="n">
        <v>778903710</v>
      </c>
      <c r="D24" s="7" t="n">
        <v>780811808</v>
      </c>
      <c r="E24" s="7" t="inlineStr">
        <is>
          <t>الجوف</t>
        </is>
      </c>
      <c r="F24" s="7" t="inlineStr">
        <is>
          <t>السيل</t>
        </is>
      </c>
      <c r="G24" s="7" t="n">
        <v>10022</v>
      </c>
      <c r="H24" s="7" t="n">
        <v>2022</v>
      </c>
      <c r="I24" s="7" t="n">
        <v>0.05</v>
      </c>
      <c r="J24" s="7" t="n">
        <v>0.04</v>
      </c>
      <c r="L24" s="7" t="inlineStr">
        <is>
          <t>بصل</t>
        </is>
      </c>
      <c r="M24" s="7" t="n">
        <v>1</v>
      </c>
      <c r="N24" s="7" t="inlineStr">
        <is>
          <t>جوده عاليه</t>
        </is>
      </c>
    </row>
    <row r="25">
      <c r="A25" t="n">
        <v>21101024</v>
      </c>
      <c r="B25" s="7" t="inlineStr">
        <is>
          <t>علي زيد زيد حسين الرقوف</t>
        </is>
      </c>
      <c r="C25" s="7" t="n">
        <v>774687631</v>
      </c>
      <c r="D25" s="7" t="n">
        <v>780811808</v>
      </c>
      <c r="E25" s="7" t="inlineStr">
        <is>
          <t>الجوف</t>
        </is>
      </c>
      <c r="F25" s="7" t="inlineStr">
        <is>
          <t>السيل</t>
        </is>
      </c>
      <c r="G25" s="7" t="n">
        <v>10023</v>
      </c>
      <c r="H25" s="7" t="n">
        <v>2023</v>
      </c>
      <c r="I25" s="7" t="n">
        <v>0.05</v>
      </c>
      <c r="J25" s="7" t="n">
        <v>0.04</v>
      </c>
      <c r="L25" s="7" t="inlineStr">
        <is>
          <t>بصل</t>
        </is>
      </c>
      <c r="M25" s="7" t="n">
        <v>1</v>
      </c>
      <c r="N25" s="7" t="inlineStr">
        <is>
          <t>جوده عاليه</t>
        </is>
      </c>
    </row>
    <row r="26">
      <c r="A26" t="n">
        <v>21101025</v>
      </c>
      <c r="B26" s="7" t="inlineStr">
        <is>
          <t>علي عبدالله صالح سراج</t>
        </is>
      </c>
      <c r="C26" s="7" t="n">
        <v>715538525</v>
      </c>
      <c r="D26" s="7" t="n">
        <v>780811808</v>
      </c>
      <c r="E26" s="7" t="inlineStr">
        <is>
          <t>الجوف</t>
        </is>
      </c>
      <c r="F26" s="7" t="inlineStr">
        <is>
          <t>السيل</t>
        </is>
      </c>
      <c r="G26" s="7" t="n">
        <v>10024</v>
      </c>
      <c r="H26" s="7" t="n">
        <v>2024</v>
      </c>
      <c r="I26" s="7" t="n">
        <v>0.05</v>
      </c>
      <c r="J26" s="7" t="n">
        <v>0.04</v>
      </c>
      <c r="L26" s="7" t="inlineStr">
        <is>
          <t>بصل</t>
        </is>
      </c>
      <c r="M26" s="7" t="n">
        <v>1</v>
      </c>
      <c r="N26" s="7" t="inlineStr">
        <is>
          <t>جوده عاليه</t>
        </is>
      </c>
    </row>
    <row r="27">
      <c r="A27" t="n">
        <v>21101026</v>
      </c>
      <c r="B27" s="7" t="inlineStr">
        <is>
          <t>غازي يحي عائض العبدي</t>
        </is>
      </c>
      <c r="C27" s="7" t="n">
        <v>774555267</v>
      </c>
      <c r="D27" s="7" t="n">
        <v>780811808</v>
      </c>
      <c r="E27" s="7" t="inlineStr">
        <is>
          <t>الجوف</t>
        </is>
      </c>
      <c r="F27" s="7" t="inlineStr">
        <is>
          <t>الساعد</t>
        </is>
      </c>
      <c r="G27" s="7" t="n">
        <v>10025</v>
      </c>
      <c r="H27" s="7" t="n">
        <v>2025</v>
      </c>
      <c r="I27" s="7" t="n">
        <v>0.05</v>
      </c>
      <c r="J27" s="7" t="n">
        <v>0.04</v>
      </c>
      <c r="L27" s="7" t="inlineStr">
        <is>
          <t>بصل</t>
        </is>
      </c>
      <c r="M27" s="7" t="n">
        <v>1</v>
      </c>
      <c r="N27" s="7" t="inlineStr">
        <is>
          <t>جوده عاليه</t>
        </is>
      </c>
    </row>
    <row r="28">
      <c r="A28" t="n">
        <v>21101027</v>
      </c>
      <c r="B28" s="7" t="inlineStr">
        <is>
          <t>فاضل محمد احمد حسين القصاري</t>
        </is>
      </c>
      <c r="C28" s="7" t="n">
        <v>770082646</v>
      </c>
      <c r="D28" s="7" t="n">
        <v>780811808</v>
      </c>
      <c r="E28" s="7" t="inlineStr">
        <is>
          <t>الجوف</t>
        </is>
      </c>
      <c r="F28" s="7" t="inlineStr">
        <is>
          <t>السيل</t>
        </is>
      </c>
      <c r="G28" s="7" t="n">
        <v>10026</v>
      </c>
      <c r="H28" s="7" t="n">
        <v>2026</v>
      </c>
      <c r="I28" s="7" t="n">
        <v>0.05</v>
      </c>
      <c r="J28" s="7" t="n">
        <v>0.04</v>
      </c>
      <c r="L28" s="7" t="inlineStr">
        <is>
          <t>بصل</t>
        </is>
      </c>
      <c r="M28" s="7" t="n">
        <v>1</v>
      </c>
      <c r="N28" s="7" t="inlineStr">
        <is>
          <t>جوده عاليه</t>
        </is>
      </c>
    </row>
    <row r="29">
      <c r="A29" t="n">
        <v>21101028</v>
      </c>
      <c r="B29" s="7" t="inlineStr">
        <is>
          <t>فايز علي احمد الهنومي</t>
        </is>
      </c>
      <c r="C29" s="7" t="n">
        <v>775147814</v>
      </c>
      <c r="D29" s="7" t="n">
        <v>780811808</v>
      </c>
      <c r="E29" s="7" t="inlineStr">
        <is>
          <t>الجوف</t>
        </is>
      </c>
      <c r="F29" s="7" t="inlineStr">
        <is>
          <t>الحزم</t>
        </is>
      </c>
      <c r="G29" s="7" t="n">
        <v>10027</v>
      </c>
      <c r="H29" s="7" t="n">
        <v>2027</v>
      </c>
      <c r="I29" s="7" t="n">
        <v>0.05</v>
      </c>
      <c r="J29" s="7" t="n">
        <v>0.04</v>
      </c>
      <c r="L29" s="7" t="inlineStr">
        <is>
          <t>بصل</t>
        </is>
      </c>
      <c r="M29" s="7" t="n">
        <v>1</v>
      </c>
      <c r="N29" s="7" t="inlineStr">
        <is>
          <t>جوده عاليه</t>
        </is>
      </c>
    </row>
    <row r="30">
      <c r="A30" t="n">
        <v>21101029</v>
      </c>
      <c r="B30" s="7" t="inlineStr">
        <is>
          <t>ماجد احمد علي الصليحي</t>
        </is>
      </c>
      <c r="C30" s="7" t="n">
        <v>772070901</v>
      </c>
      <c r="D30" s="7" t="n">
        <v>780811808</v>
      </c>
      <c r="E30" s="7" t="inlineStr">
        <is>
          <t>الجوف</t>
        </is>
      </c>
      <c r="F30" s="7" t="inlineStr">
        <is>
          <t>السيل</t>
        </is>
      </c>
      <c r="G30" s="7" t="n">
        <v>10028</v>
      </c>
      <c r="H30" s="7" t="n">
        <v>2028</v>
      </c>
      <c r="I30" s="7" t="n">
        <v>0.05</v>
      </c>
      <c r="J30" s="7" t="n">
        <v>0.04</v>
      </c>
      <c r="L30" s="7" t="inlineStr">
        <is>
          <t>بصل</t>
        </is>
      </c>
      <c r="M30" s="7" t="n">
        <v>1</v>
      </c>
      <c r="N30" s="7" t="inlineStr">
        <is>
          <t>جوده عاليه</t>
        </is>
      </c>
    </row>
    <row r="31">
      <c r="A31" t="n">
        <v>21101030</v>
      </c>
      <c r="B31" s="7" t="inlineStr">
        <is>
          <t>محمد احسن العمري</t>
        </is>
      </c>
      <c r="C31" s="7" t="n">
        <v>777344722</v>
      </c>
      <c r="D31" s="7" t="n">
        <v>780811808</v>
      </c>
      <c r="E31" s="7" t="inlineStr">
        <is>
          <t>الجوف</t>
        </is>
      </c>
      <c r="F31" s="7" t="inlineStr">
        <is>
          <t>السيل</t>
        </is>
      </c>
      <c r="G31" s="7" t="n">
        <v>10029</v>
      </c>
      <c r="H31" s="7" t="n">
        <v>2029</v>
      </c>
      <c r="I31" s="7" t="n">
        <v>0.05</v>
      </c>
      <c r="J31" s="7" t="n">
        <v>0.04</v>
      </c>
      <c r="L31" s="7" t="inlineStr">
        <is>
          <t>بصل</t>
        </is>
      </c>
      <c r="M31" s="7" t="n">
        <v>1</v>
      </c>
      <c r="N31" s="7" t="inlineStr">
        <is>
          <t>جوده عاليه</t>
        </is>
      </c>
    </row>
    <row r="32">
      <c r="A32" t="n">
        <v>21101031</v>
      </c>
      <c r="B32" s="7" t="inlineStr">
        <is>
          <t>محمد حميد راجح السباعي</t>
        </is>
      </c>
      <c r="C32" s="7" t="n">
        <v>784495963</v>
      </c>
      <c r="D32" s="7" t="n">
        <v>780811808</v>
      </c>
      <c r="E32" s="7" t="inlineStr">
        <is>
          <t>الجوف</t>
        </is>
      </c>
      <c r="F32" s="7" t="inlineStr">
        <is>
          <t>السيل</t>
        </is>
      </c>
      <c r="G32" s="7" t="n">
        <v>10030</v>
      </c>
      <c r="H32" s="7" t="n">
        <v>2030</v>
      </c>
      <c r="I32" s="7" t="n">
        <v>0.05</v>
      </c>
      <c r="J32" s="7" t="n">
        <v>0.04</v>
      </c>
      <c r="L32" s="7" t="inlineStr">
        <is>
          <t>بصل</t>
        </is>
      </c>
      <c r="M32" s="7" t="n">
        <v>1</v>
      </c>
      <c r="N32" s="7" t="inlineStr">
        <is>
          <t>جوده عاليه</t>
        </is>
      </c>
    </row>
    <row r="33">
      <c r="A33" t="n">
        <v>21101032</v>
      </c>
      <c r="B33" s="7" t="inlineStr">
        <is>
          <t>محمد عبدالرحمن محمد سراج</t>
        </is>
      </c>
      <c r="C33" s="7" t="n">
        <v>774129980</v>
      </c>
      <c r="D33" s="7" t="n">
        <v>780811808</v>
      </c>
      <c r="E33" s="7" t="inlineStr">
        <is>
          <t>الجوف</t>
        </is>
      </c>
      <c r="F33" s="7" t="inlineStr">
        <is>
          <t>الساعد</t>
        </is>
      </c>
      <c r="G33" s="7" t="n">
        <v>10031</v>
      </c>
      <c r="H33" s="7" t="n">
        <v>2031</v>
      </c>
      <c r="I33" s="7" t="n">
        <v>0.05</v>
      </c>
      <c r="J33" s="7" t="n">
        <v>0.04</v>
      </c>
      <c r="L33" s="7" t="inlineStr">
        <is>
          <t>بصل</t>
        </is>
      </c>
      <c r="M33" s="7" t="n">
        <v>1</v>
      </c>
      <c r="N33" s="7" t="inlineStr">
        <is>
          <t>جوده عاليه</t>
        </is>
      </c>
    </row>
    <row r="34">
      <c r="A34" t="n">
        <v>21101033</v>
      </c>
      <c r="B34" s="7" t="inlineStr">
        <is>
          <t>محمد عبدالله زيد الشهراني</t>
        </is>
      </c>
      <c r="C34" s="7" t="n">
        <v>713305412</v>
      </c>
      <c r="D34" s="7" t="n">
        <v>780811808</v>
      </c>
      <c r="E34" s="7" t="inlineStr">
        <is>
          <t>الجوف</t>
        </is>
      </c>
      <c r="F34" s="7" t="inlineStr">
        <is>
          <t>السيل</t>
        </is>
      </c>
      <c r="G34" s="7" t="n">
        <v>10032</v>
      </c>
      <c r="H34" s="7" t="n">
        <v>2032</v>
      </c>
      <c r="I34" s="7" t="n">
        <v>0.05</v>
      </c>
      <c r="J34" s="7" t="n">
        <v>0.04</v>
      </c>
      <c r="L34" s="7" t="inlineStr">
        <is>
          <t>بصل</t>
        </is>
      </c>
      <c r="M34" s="7" t="n">
        <v>1</v>
      </c>
      <c r="N34" s="7" t="inlineStr">
        <is>
          <t>جوده عاليه</t>
        </is>
      </c>
    </row>
    <row r="35">
      <c r="A35" t="n">
        <v>21101034</v>
      </c>
      <c r="B35" s="7" t="inlineStr">
        <is>
          <t>محمد علي ناشر المدري</t>
        </is>
      </c>
      <c r="C35" s="7" t="n">
        <v>777798668</v>
      </c>
      <c r="D35" s="7" t="n">
        <v>780811808</v>
      </c>
      <c r="E35" s="7" t="inlineStr">
        <is>
          <t>الجوف</t>
        </is>
      </c>
      <c r="F35" s="7" t="inlineStr">
        <is>
          <t>الحزم</t>
        </is>
      </c>
      <c r="G35" s="7" t="n">
        <v>10033</v>
      </c>
      <c r="H35" s="7" t="n">
        <v>2033</v>
      </c>
      <c r="I35" s="7" t="n">
        <v>0.05</v>
      </c>
      <c r="J35" s="7" t="n">
        <v>0.04</v>
      </c>
      <c r="L35" s="7" t="inlineStr">
        <is>
          <t>بصل</t>
        </is>
      </c>
      <c r="M35" s="7" t="n">
        <v>1</v>
      </c>
      <c r="N35" s="7" t="inlineStr">
        <is>
          <t>جوده عاليه</t>
        </is>
      </c>
    </row>
    <row r="36">
      <c r="A36" t="n">
        <v>21101035</v>
      </c>
      <c r="B36" s="7" t="inlineStr">
        <is>
          <t>محمد يحي علي دومان</t>
        </is>
      </c>
      <c r="C36" s="7" t="n">
        <v>714584211</v>
      </c>
      <c r="D36" s="7" t="n">
        <v>780811808</v>
      </c>
      <c r="E36" s="7" t="inlineStr">
        <is>
          <t>الجوف</t>
        </is>
      </c>
      <c r="F36" s="7" t="inlineStr">
        <is>
          <t>السيل</t>
        </is>
      </c>
      <c r="G36" s="7" t="n">
        <v>10034</v>
      </c>
      <c r="H36" s="7" t="n">
        <v>2034</v>
      </c>
      <c r="I36" s="7" t="n">
        <v>0.05</v>
      </c>
      <c r="J36" s="7" t="n">
        <v>0.04</v>
      </c>
      <c r="L36" s="7" t="inlineStr">
        <is>
          <t>بصل</t>
        </is>
      </c>
      <c r="M36" s="7" t="n">
        <v>1</v>
      </c>
      <c r="N36" s="7" t="inlineStr">
        <is>
          <t>جوده عاليه</t>
        </is>
      </c>
    </row>
    <row r="37">
      <c r="A37" t="n">
        <v>21101036</v>
      </c>
      <c r="B37" s="7" t="inlineStr">
        <is>
          <t>مسلم يحي عائض العبدي</t>
        </is>
      </c>
      <c r="C37" s="7" t="n">
        <v>778245181</v>
      </c>
      <c r="D37" s="7" t="n">
        <v>780811808</v>
      </c>
      <c r="E37" s="7" t="inlineStr">
        <is>
          <t>الجوف</t>
        </is>
      </c>
      <c r="F37" s="7" t="inlineStr">
        <is>
          <t>السيل</t>
        </is>
      </c>
      <c r="G37" s="7" t="n">
        <v>10035</v>
      </c>
      <c r="H37" s="7" t="n">
        <v>2035</v>
      </c>
      <c r="I37" s="7" t="n">
        <v>0.05</v>
      </c>
      <c r="J37" s="7" t="n">
        <v>0.04</v>
      </c>
      <c r="L37" s="7" t="inlineStr">
        <is>
          <t>بصل</t>
        </is>
      </c>
      <c r="M37" s="7" t="n">
        <v>1</v>
      </c>
      <c r="N37" s="7" t="inlineStr">
        <is>
          <t>جوده عاليه</t>
        </is>
      </c>
    </row>
    <row r="38">
      <c r="A38" t="n">
        <v>21101037</v>
      </c>
      <c r="B38" s="7" t="inlineStr">
        <is>
          <t>منبه عبده ثابت العنسي</t>
        </is>
      </c>
      <c r="C38" s="7" t="n">
        <v>779540471</v>
      </c>
      <c r="D38" s="7" t="n">
        <v>780811808</v>
      </c>
      <c r="E38" s="7" t="inlineStr">
        <is>
          <t>الجوف</t>
        </is>
      </c>
      <c r="F38" s="7" t="inlineStr">
        <is>
          <t>السيل</t>
        </is>
      </c>
      <c r="G38" s="7" t="n">
        <v>10036</v>
      </c>
      <c r="H38" s="7" t="n">
        <v>2036</v>
      </c>
      <c r="I38" s="7" t="n">
        <v>0.05</v>
      </c>
      <c r="J38" s="7" t="n">
        <v>0.04</v>
      </c>
      <c r="L38" s="7" t="inlineStr">
        <is>
          <t>بصل</t>
        </is>
      </c>
      <c r="M38" s="7" t="n">
        <v>1</v>
      </c>
      <c r="N38" s="7" t="inlineStr">
        <is>
          <t>جوده عاليه</t>
        </is>
      </c>
    </row>
    <row r="39">
      <c r="A39" t="n">
        <v>21101038</v>
      </c>
      <c r="B39" s="7" t="inlineStr">
        <is>
          <t>مهدي داوود محمد السامدي</t>
        </is>
      </c>
      <c r="C39" s="7" t="n">
        <v>776994921</v>
      </c>
      <c r="D39" s="7" t="n">
        <v>780811808</v>
      </c>
      <c r="E39" s="7" t="inlineStr">
        <is>
          <t>الجوف</t>
        </is>
      </c>
      <c r="F39" s="7" t="inlineStr">
        <is>
          <t>الساعد</t>
        </is>
      </c>
      <c r="G39" s="7" t="n">
        <v>10037</v>
      </c>
      <c r="H39" s="7" t="n">
        <v>2037</v>
      </c>
      <c r="I39" s="7" t="n">
        <v>0.05</v>
      </c>
      <c r="J39" s="7" t="n">
        <v>0.04</v>
      </c>
      <c r="L39" s="7" t="inlineStr">
        <is>
          <t>بصل</t>
        </is>
      </c>
      <c r="M39" s="7" t="n">
        <v>1</v>
      </c>
      <c r="N39" s="7" t="inlineStr">
        <is>
          <t>جوده عاليه</t>
        </is>
      </c>
    </row>
    <row r="40">
      <c r="A40" t="n">
        <v>21101039</v>
      </c>
      <c r="B40" s="7" t="inlineStr">
        <is>
          <t>ناجي محمد حمد الغاسي</t>
        </is>
      </c>
      <c r="C40" s="7" t="n">
        <v>737107507</v>
      </c>
      <c r="D40" s="7" t="n">
        <v>780811808</v>
      </c>
      <c r="E40" s="7" t="inlineStr">
        <is>
          <t>الجوف</t>
        </is>
      </c>
      <c r="F40" s="7" t="inlineStr">
        <is>
          <t>السيل</t>
        </is>
      </c>
      <c r="G40" s="7" t="n">
        <v>10038</v>
      </c>
      <c r="H40" s="7" t="n">
        <v>2038</v>
      </c>
      <c r="I40" s="7" t="n">
        <v>0.05</v>
      </c>
      <c r="J40" s="7" t="n">
        <v>0.04</v>
      </c>
      <c r="L40" s="7" t="inlineStr">
        <is>
          <t>بصل</t>
        </is>
      </c>
      <c r="M40" s="7" t="n">
        <v>0</v>
      </c>
      <c r="N40" s="7" t="inlineStr">
        <is>
          <t>جوده عاليه</t>
        </is>
      </c>
    </row>
    <row r="41">
      <c r="A41" t="n">
        <v>21101040</v>
      </c>
      <c r="B41" s="7" t="inlineStr">
        <is>
          <t>ناصر احمد قاسم العصري</t>
        </is>
      </c>
      <c r="C41" s="7" t="n">
        <v>775686620</v>
      </c>
      <c r="D41" s="7" t="n">
        <v>780811808</v>
      </c>
      <c r="E41" s="7" t="inlineStr">
        <is>
          <t>الجوف</t>
        </is>
      </c>
      <c r="F41" s="7" t="inlineStr">
        <is>
          <t>الحزم</t>
        </is>
      </c>
      <c r="G41" s="7" t="n">
        <v>10039</v>
      </c>
      <c r="H41" s="7" t="n">
        <v>2039</v>
      </c>
      <c r="I41" s="7" t="n">
        <v>0.05</v>
      </c>
      <c r="J41" s="7" t="n">
        <v>0.04</v>
      </c>
      <c r="L41" s="7" t="inlineStr">
        <is>
          <t>بصل</t>
        </is>
      </c>
      <c r="M41" s="7" t="n">
        <v>1</v>
      </c>
      <c r="N41" s="7" t="inlineStr">
        <is>
          <t>جوده عاليه</t>
        </is>
      </c>
    </row>
    <row r="42">
      <c r="A42" t="n">
        <v>21101041</v>
      </c>
      <c r="B42" s="7" t="inlineStr">
        <is>
          <t>نايف شمسان سعيد شمسان</t>
        </is>
      </c>
      <c r="C42" s="7" t="n">
        <v>777090393</v>
      </c>
      <c r="D42" s="7" t="n">
        <v>780811808</v>
      </c>
      <c r="E42" s="7" t="inlineStr">
        <is>
          <t>الجوف</t>
        </is>
      </c>
      <c r="F42" s="7" t="inlineStr">
        <is>
          <t>السيل</t>
        </is>
      </c>
      <c r="G42" s="7" t="n">
        <v>10040</v>
      </c>
      <c r="H42" s="7" t="n">
        <v>2040</v>
      </c>
      <c r="I42" s="7" t="n">
        <v>0.05</v>
      </c>
      <c r="J42" s="7" t="n">
        <v>0.04</v>
      </c>
      <c r="L42" s="7" t="inlineStr">
        <is>
          <t>بصل</t>
        </is>
      </c>
      <c r="M42" s="7" t="n">
        <v>1</v>
      </c>
      <c r="N42" s="7" t="inlineStr">
        <is>
          <t>جوده عاليه</t>
        </is>
      </c>
    </row>
    <row r="43">
      <c r="A43" t="n">
        <v>21101042</v>
      </c>
      <c r="B43" s="7" t="inlineStr">
        <is>
          <t>نزيه حسين عوضه العبدي</t>
        </is>
      </c>
      <c r="C43" s="7" t="n">
        <v>776307324</v>
      </c>
      <c r="D43" s="7" t="n">
        <v>780811808</v>
      </c>
      <c r="E43" s="7" t="inlineStr">
        <is>
          <t>الجوف</t>
        </is>
      </c>
      <c r="F43" s="7" t="inlineStr">
        <is>
          <t>السيل</t>
        </is>
      </c>
      <c r="G43" s="7" t="n">
        <v>10041</v>
      </c>
      <c r="H43" s="7" t="n">
        <v>2041</v>
      </c>
      <c r="I43" s="7" t="n">
        <v>0.05</v>
      </c>
      <c r="J43" s="7" t="n">
        <v>0.04</v>
      </c>
      <c r="L43" s="7" t="inlineStr">
        <is>
          <t>بصل</t>
        </is>
      </c>
      <c r="M43" s="7" t="n">
        <v>1</v>
      </c>
      <c r="N43" s="7" t="inlineStr">
        <is>
          <t>جوده عاليه</t>
        </is>
      </c>
    </row>
    <row r="44">
      <c r="A44" t="n">
        <v>21101043</v>
      </c>
      <c r="B44" s="7" t="inlineStr">
        <is>
          <t>نصيب صالح ناصر معيض الفرجي</t>
        </is>
      </c>
      <c r="C44" s="7" t="n">
        <v>779177784</v>
      </c>
      <c r="D44" s="7" t="n">
        <v>780811808</v>
      </c>
      <c r="E44" s="7" t="inlineStr">
        <is>
          <t>الجوف</t>
        </is>
      </c>
      <c r="F44" s="7" t="inlineStr">
        <is>
          <t>السيل</t>
        </is>
      </c>
      <c r="G44" s="7" t="n">
        <v>10042</v>
      </c>
      <c r="H44" s="7" t="n">
        <v>2042</v>
      </c>
      <c r="I44" s="7" t="n">
        <v>0.05</v>
      </c>
      <c r="J44" s="7" t="n">
        <v>0.04</v>
      </c>
      <c r="L44" s="7" t="inlineStr">
        <is>
          <t>بصل</t>
        </is>
      </c>
      <c r="M44" s="7" t="n">
        <v>1</v>
      </c>
      <c r="N44" s="7" t="inlineStr">
        <is>
          <t>جوده عاليه</t>
        </is>
      </c>
    </row>
    <row r="45">
      <c r="A45" t="n">
        <v>21101044</v>
      </c>
      <c r="B45" s="7" t="inlineStr">
        <is>
          <t>نور الدين فيصل احمد عبده سرحان</t>
        </is>
      </c>
      <c r="C45" s="7" t="n">
        <v>770634743</v>
      </c>
      <c r="D45" s="7" t="n">
        <v>780811808</v>
      </c>
      <c r="E45" s="7" t="inlineStr">
        <is>
          <t>الجوف</t>
        </is>
      </c>
      <c r="F45" s="7" t="inlineStr">
        <is>
          <t>الساعد</t>
        </is>
      </c>
      <c r="G45" s="7" t="n">
        <v>10043</v>
      </c>
      <c r="H45" s="7" t="n">
        <v>2043</v>
      </c>
      <c r="I45" s="7" t="n">
        <v>0.05</v>
      </c>
      <c r="J45" s="7" t="n">
        <v>0.04</v>
      </c>
      <c r="L45" s="7" t="inlineStr">
        <is>
          <t>بصل</t>
        </is>
      </c>
      <c r="M45" s="7" t="n">
        <v>1</v>
      </c>
      <c r="N45" s="7" t="inlineStr">
        <is>
          <t>جوده عاليه</t>
        </is>
      </c>
    </row>
    <row r="46">
      <c r="A46" t="n">
        <v>21101045</v>
      </c>
      <c r="B46" s="7" t="inlineStr">
        <is>
          <t>هادي مبروك احمد الجميدر</t>
        </is>
      </c>
      <c r="C46" s="7" t="n">
        <v>716081857</v>
      </c>
      <c r="D46" s="7" t="n">
        <v>780811808</v>
      </c>
      <c r="E46" s="7" t="inlineStr">
        <is>
          <t>الجوف</t>
        </is>
      </c>
      <c r="F46" s="7" t="inlineStr">
        <is>
          <t>السيل</t>
        </is>
      </c>
      <c r="G46" s="7" t="n">
        <v>10044</v>
      </c>
      <c r="H46" s="7" t="n">
        <v>2044</v>
      </c>
      <c r="I46" s="7" t="n">
        <v>0.05</v>
      </c>
      <c r="J46" s="7" t="n">
        <v>0.04</v>
      </c>
      <c r="L46" s="7" t="inlineStr">
        <is>
          <t>بصل</t>
        </is>
      </c>
      <c r="M46" s="7" t="n">
        <v>1</v>
      </c>
      <c r="N46" s="7" t="inlineStr">
        <is>
          <t>جوده عاليه</t>
        </is>
      </c>
    </row>
    <row r="47">
      <c r="A47" t="n">
        <v>21101046</v>
      </c>
      <c r="B47" s="7" t="inlineStr">
        <is>
          <t>هلال صالح علوان</t>
        </is>
      </c>
      <c r="C47" s="7" t="n">
        <v>785032759</v>
      </c>
      <c r="D47" s="7" t="n">
        <v>780811808</v>
      </c>
      <c r="E47" s="7" t="inlineStr">
        <is>
          <t>الجوف</t>
        </is>
      </c>
      <c r="F47" s="7" t="inlineStr">
        <is>
          <t>الحزم</t>
        </is>
      </c>
      <c r="G47" s="7" t="n">
        <v>10045</v>
      </c>
      <c r="H47" s="7" t="n">
        <v>2045</v>
      </c>
      <c r="I47" s="7" t="n">
        <v>0.05</v>
      </c>
      <c r="J47" s="7" t="n">
        <v>0.04</v>
      </c>
      <c r="L47" s="7" t="inlineStr">
        <is>
          <t>بصل</t>
        </is>
      </c>
      <c r="M47" s="7" t="n">
        <v>1</v>
      </c>
      <c r="N47" s="7" t="inlineStr">
        <is>
          <t>جوده عاليه</t>
        </is>
      </c>
    </row>
    <row r="48">
      <c r="A48" t="n">
        <v>21101047</v>
      </c>
      <c r="B48" s="7" t="inlineStr">
        <is>
          <t>همدان صلاح هادي مقبع</t>
        </is>
      </c>
      <c r="C48" s="7" t="n">
        <v>716816773</v>
      </c>
      <c r="D48" s="7" t="n">
        <v>780811808</v>
      </c>
      <c r="E48" s="7" t="inlineStr">
        <is>
          <t>الجوف</t>
        </is>
      </c>
      <c r="F48" s="7" t="inlineStr">
        <is>
          <t>السيل</t>
        </is>
      </c>
      <c r="G48" s="7" t="n">
        <v>10046</v>
      </c>
      <c r="H48" s="7" t="n">
        <v>2046</v>
      </c>
      <c r="I48" s="7" t="n">
        <v>0.05</v>
      </c>
      <c r="J48" s="7" t="n">
        <v>0.04</v>
      </c>
      <c r="L48" s="7" t="inlineStr">
        <is>
          <t>بصل</t>
        </is>
      </c>
      <c r="M48" s="7" t="n">
        <v>1</v>
      </c>
      <c r="N48" s="7" t="inlineStr">
        <is>
          <t>جوده عاليه</t>
        </is>
      </c>
    </row>
    <row r="49">
      <c r="A49" t="n">
        <v>21101048</v>
      </c>
      <c r="B49" s="7" t="inlineStr">
        <is>
          <t>ياسر علي احمد الفقيه</t>
        </is>
      </c>
      <c r="C49" s="7" t="n">
        <v>717121204</v>
      </c>
      <c r="D49" s="7" t="n">
        <v>780811808</v>
      </c>
      <c r="E49" s="7" t="inlineStr">
        <is>
          <t>الجوف</t>
        </is>
      </c>
      <c r="F49" s="7" t="inlineStr">
        <is>
          <t>السيل</t>
        </is>
      </c>
      <c r="G49" s="7" t="n">
        <v>10047</v>
      </c>
      <c r="H49" s="7" t="n">
        <v>2047</v>
      </c>
      <c r="I49" s="7" t="n">
        <v>0.05</v>
      </c>
      <c r="J49" s="7" t="n">
        <v>0.04</v>
      </c>
      <c r="L49" s="7" t="inlineStr">
        <is>
          <t>بصل</t>
        </is>
      </c>
      <c r="M49" s="7" t="n">
        <v>1</v>
      </c>
      <c r="N49" s="7" t="inlineStr">
        <is>
          <t>جوده عاليه</t>
        </is>
      </c>
    </row>
    <row r="50">
      <c r="A50" t="n">
        <v>21101049</v>
      </c>
      <c r="B50" t="inlineStr">
        <is>
          <t>جبران محمد حسين السنافي</t>
        </is>
      </c>
      <c r="D50" s="7" t="n">
        <v>780811808</v>
      </c>
      <c r="E50" s="7" t="inlineStr">
        <is>
          <t>الجوف</t>
        </is>
      </c>
      <c r="F50" s="7" t="inlineStr">
        <is>
          <t>السيل</t>
        </is>
      </c>
      <c r="G50" s="7" t="n">
        <v>10048</v>
      </c>
      <c r="H50" s="7" t="n">
        <v>2048</v>
      </c>
      <c r="I50" s="7" t="n">
        <v>0.05</v>
      </c>
      <c r="J50" s="7" t="n">
        <v>0.04</v>
      </c>
      <c r="L50" s="7" t="inlineStr">
        <is>
          <t>بصل</t>
        </is>
      </c>
      <c r="M50" s="7" t="n">
        <v>1</v>
      </c>
      <c r="N50" s="7" t="inlineStr">
        <is>
          <t>جوده عاليه</t>
        </is>
      </c>
    </row>
    <row r="51">
      <c r="A51" t="n">
        <v>21101050</v>
      </c>
      <c r="B51" t="inlineStr">
        <is>
          <t>صالح عبدالله العدوله</t>
        </is>
      </c>
      <c r="D51" s="7" t="n">
        <v>780811808</v>
      </c>
      <c r="E51" s="7" t="inlineStr">
        <is>
          <t>الجوف</t>
        </is>
      </c>
      <c r="F51" s="7" t="inlineStr">
        <is>
          <t>السيل</t>
        </is>
      </c>
      <c r="G51" s="7" t="n">
        <v>10049</v>
      </c>
      <c r="H51" s="7" t="n">
        <v>2049</v>
      </c>
      <c r="I51" s="7" t="n">
        <v>0.05</v>
      </c>
      <c r="J51" s="7" t="n">
        <v>0.04</v>
      </c>
      <c r="L51" s="7" t="inlineStr">
        <is>
          <t>بصل</t>
        </is>
      </c>
      <c r="M51" s="7" t="n">
        <v>1</v>
      </c>
      <c r="N51" s="7" t="inlineStr">
        <is>
          <t>جوده عاليه</t>
        </is>
      </c>
    </row>
  </sheetData>
  <conditionalFormatting sqref="B1:B51 B54:B1048576">
    <cfRule type="duplicateValues" priority="2" dxfId="0"/>
  </conditionalFormatting>
  <conditionalFormatting sqref="K2:K11">
    <cfRule type="duplicateValues" priority="1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4">
    <outlinePr summaryBelow="1" summaryRight="1"/>
    <pageSetUpPr/>
  </sheetPr>
  <dimension ref="A1:O3"/>
  <sheetViews>
    <sheetView rightToLeft="1" workbookViewId="0">
      <selection activeCell="B24" sqref="B24:B27"/>
    </sheetView>
  </sheetViews>
  <sheetFormatPr baseColWidth="8" defaultRowHeight="13.8"/>
  <cols>
    <col width="12.3984375" customWidth="1" min="1" max="1"/>
    <col width="15" bestFit="1" customWidth="1" min="2" max="2"/>
    <col width="12.796875" bestFit="1" customWidth="1" min="3" max="3"/>
    <col width="14.69921875" bestFit="1" customWidth="1" min="4" max="4"/>
    <col width="19.796875" bestFit="1" customWidth="1" min="5" max="5"/>
    <col width="13.3984375" bestFit="1" customWidth="1" min="6" max="6"/>
    <col width="17.69921875" bestFit="1" customWidth="1" min="7" max="7"/>
    <col width="7.5" bestFit="1" customWidth="1" min="8" max="8"/>
    <col width="6.8984375" bestFit="1" customWidth="1" min="9" max="9"/>
    <col width="9.3984375" bestFit="1" customWidth="1" min="10" max="10"/>
    <col width="12.296875" bestFit="1" customWidth="1" min="11" max="11"/>
    <col width="19" bestFit="1" customWidth="1" min="12" max="12"/>
    <col width="18.796875" bestFit="1" customWidth="1" min="13" max="13"/>
  </cols>
  <sheetData>
    <row r="1" ht="14.4" customHeight="1" thickBot="1">
      <c r="A1" s="11" t="inlineStr">
        <is>
          <t>رقم حساب المشتري</t>
        </is>
      </c>
      <c r="B1" s="11" t="inlineStr">
        <is>
          <t>اسم المشتري</t>
        </is>
      </c>
      <c r="C1" s="12" t="inlineStr">
        <is>
          <t>اسم الشهرة</t>
        </is>
      </c>
      <c r="D1" s="13" t="inlineStr">
        <is>
          <t>اسم الشركه</t>
        </is>
      </c>
      <c r="E1" s="11" t="inlineStr">
        <is>
          <t>رقم البطاقه الشخصيه</t>
        </is>
      </c>
      <c r="F1" s="11" t="inlineStr">
        <is>
          <t>رقم الهاتف المشتري الواتساب</t>
        </is>
      </c>
      <c r="G1" s="14" t="inlineStr">
        <is>
          <t>رقم تلفون المشتري</t>
        </is>
      </c>
      <c r="H1" s="15" t="inlineStr">
        <is>
          <t>اسم الضمين على المشتري</t>
        </is>
      </c>
      <c r="I1" s="12" t="inlineStr">
        <is>
          <t>المحافظة</t>
        </is>
      </c>
      <c r="J1" s="12" t="inlineStr">
        <is>
          <t>المديريه</t>
        </is>
      </c>
      <c r="K1" s="11" t="inlineStr">
        <is>
          <t>الرصيد الافتتاحي</t>
        </is>
      </c>
      <c r="L1" s="11" t="inlineStr">
        <is>
          <t>الرصيد الحالي</t>
        </is>
      </c>
      <c r="M1" s="11" t="inlineStr">
        <is>
          <t>رسوم الدلاله</t>
        </is>
      </c>
      <c r="N1" s="8" t="inlineStr">
        <is>
          <t>تاريخ الاضافه</t>
        </is>
      </c>
      <c r="O1" s="11" t="inlineStr">
        <is>
          <t>الحالة</t>
        </is>
      </c>
    </row>
    <row r="2">
      <c r="A2" s="1" t="inlineStr">
        <is>
          <t>Buyer_subAccountCode</t>
        </is>
      </c>
      <c r="B2" s="1" t="inlineStr">
        <is>
          <t>Buyer_Name</t>
        </is>
      </c>
      <c r="C2" s="1" t="inlineStr">
        <is>
          <t>Buyer_Last_Name</t>
        </is>
      </c>
      <c r="D2" s="1" t="inlineStr">
        <is>
          <t>Buyer_Company</t>
        </is>
      </c>
      <c r="E2" s="1" t="inlineStr">
        <is>
          <t>Buyer_National_ID_Number</t>
        </is>
      </c>
      <c r="F2" s="1" t="inlineStr">
        <is>
          <t>Buyer_WhatsApp_Number</t>
        </is>
      </c>
      <c r="G2" s="1" t="inlineStr">
        <is>
          <t>Buyer_Phone_Number</t>
        </is>
      </c>
      <c r="H2" s="1" t="inlineStr">
        <is>
          <t>Buyer_Guarantor_Name</t>
        </is>
      </c>
      <c r="I2" s="1" t="inlineStr">
        <is>
          <t>Buyer_Governorate</t>
        </is>
      </c>
      <c r="J2" s="1" t="inlineStr">
        <is>
          <t>Buyer_District</t>
        </is>
      </c>
      <c r="K2" s="1" t="inlineStr">
        <is>
          <t>Buyer_Opening_Balance</t>
        </is>
      </c>
      <c r="L2" s="1" t="inlineStr">
        <is>
          <t>Buyer_Current_Balance</t>
        </is>
      </c>
      <c r="M2" s="1" t="inlineStr">
        <is>
          <t>Buyer_Delalah_Fee</t>
        </is>
      </c>
      <c r="N2" t="inlineStr">
        <is>
          <t>Buyer_reg_date</t>
        </is>
      </c>
      <c r="O2" s="1" t="inlineStr">
        <is>
          <t>Buyer_Status</t>
        </is>
      </c>
    </row>
    <row r="3">
      <c r="A3" t="n">
        <v>11201001</v>
      </c>
      <c r="B3" t="inlineStr">
        <is>
          <t>احمد الحبيشي</t>
        </is>
      </c>
      <c r="C3" t="inlineStr">
        <is>
          <t>الحبيشي</t>
        </is>
      </c>
      <c r="E3" s="16" t="inlineStr">
        <is>
          <t>045666666</t>
        </is>
      </c>
      <c r="F3" t="n">
        <v>777888999</v>
      </c>
      <c r="G3" t="n">
        <v>780811808</v>
      </c>
      <c r="O3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ورقة3">
    <outlinePr summaryBelow="1" summaryRight="1"/>
    <pageSetUpPr/>
  </sheetPr>
  <dimension ref="A1:K9"/>
  <sheetViews>
    <sheetView rightToLeft="1" workbookViewId="0">
      <selection activeCell="F3" sqref="F3"/>
    </sheetView>
  </sheetViews>
  <sheetFormatPr baseColWidth="8" defaultRowHeight="13.8"/>
  <cols>
    <col width="14.59765625" bestFit="1" customWidth="1" min="1" max="1"/>
    <col width="11.09765625" bestFit="1" customWidth="1" min="3" max="4"/>
    <col width="18.3984375" bestFit="1" customWidth="1" min="7" max="7"/>
  </cols>
  <sheetData>
    <row r="1">
      <c r="A1" s="1" t="inlineStr">
        <is>
          <t>كود الموظف</t>
        </is>
      </c>
      <c r="B1" s="1" t="inlineStr">
        <is>
          <t>اسم الموظف</t>
        </is>
      </c>
      <c r="C1" s="1" t="inlineStr">
        <is>
          <t>الصفة / الوظيفة</t>
        </is>
      </c>
      <c r="D1" s="1" t="inlineStr">
        <is>
          <t>دور وظيفي ثاني</t>
        </is>
      </c>
      <c r="E1" s="1" t="inlineStr">
        <is>
          <t>الامتياز</t>
        </is>
      </c>
      <c r="F1" s="1" t="inlineStr">
        <is>
          <t>رقم الهاتف</t>
        </is>
      </c>
      <c r="G1" s="1" t="inlineStr">
        <is>
          <t>الرصيد الحالي</t>
        </is>
      </c>
      <c r="H1" s="1" t="inlineStr">
        <is>
          <t>الراتب</t>
        </is>
      </c>
      <c r="I1" s="1" t="inlineStr">
        <is>
          <t>النسبه/الحافز</t>
        </is>
      </c>
      <c r="J1" s="1" t="inlineStr">
        <is>
          <t>تاريخ الاضافه</t>
        </is>
      </c>
      <c r="K1" s="1" t="inlineStr">
        <is>
          <t>الحالة</t>
        </is>
      </c>
    </row>
    <row r="2">
      <c r="A2" t="inlineStr">
        <is>
          <t>subAccountCode</t>
        </is>
      </c>
      <c r="B2" t="inlineStr">
        <is>
          <t>Emp_name</t>
        </is>
      </c>
      <c r="C2" t="inlineStr">
        <is>
          <t>Emp_role</t>
        </is>
      </c>
      <c r="D2" t="inlineStr">
        <is>
          <t>Emp_role2</t>
        </is>
      </c>
      <c r="E2" t="inlineStr">
        <is>
          <t>Emp_advantage</t>
        </is>
      </c>
      <c r="F2" t="inlineStr">
        <is>
          <t>Emp_phone</t>
        </is>
      </c>
      <c r="G2" t="inlineStr">
        <is>
          <t>Emp_Curent_balance</t>
        </is>
      </c>
      <c r="H2" t="inlineStr">
        <is>
          <t>Emp_Salary</t>
        </is>
      </c>
      <c r="I2" t="inlineStr">
        <is>
          <t>Emp_SalaryPercent</t>
        </is>
      </c>
      <c r="J2" t="inlineStr">
        <is>
          <t>Emp_reg_date</t>
        </is>
      </c>
      <c r="K2" t="inlineStr">
        <is>
          <t>Emp_status</t>
        </is>
      </c>
    </row>
    <row r="3">
      <c r="A3" t="n">
        <v>511105001</v>
      </c>
      <c r="B3" t="inlineStr">
        <is>
          <t>يوسف القاضي</t>
        </is>
      </c>
      <c r="C3" t="inlineStr">
        <is>
          <t>محاسب</t>
        </is>
      </c>
      <c r="D3" t="inlineStr">
        <is>
          <t>مشرف النظام</t>
        </is>
      </c>
      <c r="E3" t="inlineStr">
        <is>
          <t>موظف</t>
        </is>
      </c>
      <c r="G3" s="17" t="n">
        <v>20000</v>
      </c>
      <c r="K3" t="n">
        <v>1</v>
      </c>
    </row>
    <row r="4">
      <c r="A4" t="n">
        <v>511105002</v>
      </c>
      <c r="B4" t="inlineStr">
        <is>
          <t>عبدالوهاب السنافي</t>
        </is>
      </c>
      <c r="C4" t="inlineStr">
        <is>
          <t>الصندوق الرئيسي</t>
        </is>
      </c>
      <c r="E4" t="inlineStr">
        <is>
          <t>شريك</t>
        </is>
      </c>
      <c r="G4" s="17" t="n">
        <v>10000</v>
      </c>
      <c r="K4" t="n">
        <v>1</v>
      </c>
    </row>
    <row r="5">
      <c r="A5" t="n">
        <v>511105003</v>
      </c>
      <c r="B5" t="inlineStr">
        <is>
          <t>علي السنافي</t>
        </is>
      </c>
      <c r="C5" t="inlineStr">
        <is>
          <t>دلال</t>
        </is>
      </c>
      <c r="D5" t="inlineStr">
        <is>
          <t>صندوق فرعي</t>
        </is>
      </c>
      <c r="E5" t="inlineStr">
        <is>
          <t>شريك</t>
        </is>
      </c>
      <c r="G5" s="17" t="n">
        <v>20000</v>
      </c>
      <c r="K5" t="n">
        <v>1</v>
      </c>
    </row>
    <row r="6">
      <c r="A6" t="n">
        <v>511105004</v>
      </c>
      <c r="B6" t="inlineStr">
        <is>
          <t>علي ناصر علاء</t>
        </is>
      </c>
      <c r="C6" t="inlineStr">
        <is>
          <t>دلال</t>
        </is>
      </c>
      <c r="D6" t="inlineStr">
        <is>
          <t>صندوق فرعي</t>
        </is>
      </c>
      <c r="E6" t="inlineStr">
        <is>
          <t>شريك</t>
        </is>
      </c>
      <c r="G6" s="17" t="n">
        <v>20000</v>
      </c>
      <c r="K6" t="n">
        <v>1</v>
      </c>
    </row>
    <row r="7">
      <c r="A7" t="n">
        <v>511105005</v>
      </c>
      <c r="B7" t="inlineStr">
        <is>
          <t>محمد مقبع</t>
        </is>
      </c>
      <c r="C7" t="inlineStr">
        <is>
          <t>دلال</t>
        </is>
      </c>
      <c r="D7" t="inlineStr">
        <is>
          <t>صندوق فرعي</t>
        </is>
      </c>
      <c r="E7" t="inlineStr">
        <is>
          <t>شريك</t>
        </is>
      </c>
      <c r="G7" s="17" t="n">
        <v>20000</v>
      </c>
      <c r="K7" t="n">
        <v>1</v>
      </c>
    </row>
    <row r="8">
      <c r="A8" t="n">
        <v>511105006</v>
      </c>
      <c r="B8" t="inlineStr">
        <is>
          <t>علي محمد همدان</t>
        </is>
      </c>
      <c r="C8" t="inlineStr">
        <is>
          <t>محصل زكاة</t>
        </is>
      </c>
      <c r="D8" t="inlineStr">
        <is>
          <t>محصل زكاة</t>
        </is>
      </c>
      <c r="E8" t="inlineStr">
        <is>
          <t>مندوب</t>
        </is>
      </c>
      <c r="G8" s="17" t="n">
        <v>20000</v>
      </c>
      <c r="K8" t="n">
        <v>1</v>
      </c>
    </row>
    <row r="9">
      <c r="A9" t="n">
        <v>511105007</v>
      </c>
      <c r="B9" t="inlineStr">
        <is>
          <t>أبو شرف</t>
        </is>
      </c>
      <c r="C9" t="inlineStr">
        <is>
          <t>حارس</t>
        </is>
      </c>
      <c r="E9" t="inlineStr">
        <is>
          <t>موظف</t>
        </is>
      </c>
      <c r="G9" s="17" t="n">
        <v>50000</v>
      </c>
      <c r="K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3.8"/>
  <sheetData>
    <row r="1">
      <c r="A1" t="inlineStr">
        <is>
          <t>رقم القيد</t>
        </is>
      </c>
      <c r="B1" t="inlineStr">
        <is>
          <t>تاريخ القيد</t>
        </is>
      </c>
      <c r="C1" t="inlineStr">
        <is>
          <t>نوع الحركة</t>
        </is>
      </c>
      <c r="D1" t="inlineStr">
        <is>
          <t>رقم المرجع</t>
        </is>
      </c>
      <c r="E1" t="inlineStr">
        <is>
          <t>رقم الحساب الرئيسي</t>
        </is>
      </c>
      <c r="F1" t="inlineStr">
        <is>
          <t>اسم الحساب</t>
        </is>
      </c>
      <c r="G1" t="inlineStr">
        <is>
          <t>رقم الحساب الفرعي</t>
        </is>
      </c>
      <c r="H1" t="inlineStr">
        <is>
          <t>اسم صاحب الحساب</t>
        </is>
      </c>
      <c r="I1" t="inlineStr">
        <is>
          <t>المبلغ المدين</t>
        </is>
      </c>
      <c r="J1" t="inlineStr">
        <is>
          <t>المبلغ الدائن</t>
        </is>
      </c>
      <c r="K1" t="inlineStr">
        <is>
          <t>البيان / شرح القيد التلقائي</t>
        </is>
      </c>
      <c r="L1" t="inlineStr">
        <is>
          <t>بيان فرعي</t>
        </is>
      </c>
    </row>
    <row r="2">
      <c r="A2" t="inlineStr">
        <is>
          <t>EntryID</t>
        </is>
      </c>
      <c r="B2" t="inlineStr">
        <is>
          <t>EntryDate</t>
        </is>
      </c>
      <c r="C2" t="inlineStr">
        <is>
          <t>TransactionType</t>
        </is>
      </c>
      <c r="D2" t="inlineStr">
        <is>
          <t>RefPaperNo</t>
        </is>
      </c>
      <c r="E2" t="inlineStr">
        <is>
          <t>AccountCode</t>
        </is>
      </c>
      <c r="F2" t="inlineStr">
        <is>
          <t>AccountName</t>
        </is>
      </c>
      <c r="G2" t="inlineStr">
        <is>
          <t>SubAccountCode</t>
        </is>
      </c>
      <c r="H2" t="inlineStr">
        <is>
          <t>SubAccountName</t>
        </is>
      </c>
      <c r="I2" t="inlineStr">
        <is>
          <t>Debit</t>
        </is>
      </c>
      <c r="J2" t="inlineStr">
        <is>
          <t>Credit</t>
        </is>
      </c>
      <c r="K2" t="inlineStr">
        <is>
          <t>Description</t>
        </is>
      </c>
      <c r="L2" t="inlineStr">
        <is>
          <t>SubDescription</t>
        </is>
      </c>
    </row>
    <row r="3">
      <c r="A3" t="n">
        <v>1</v>
      </c>
      <c r="B3" s="73" t="n">
        <v>46267</v>
      </c>
      <c r="C3" t="inlineStr">
        <is>
          <t>فاتورة مزارع</t>
        </is>
      </c>
      <c r="D3" t="inlineStr">
        <is>
          <t>فاتورة رقم 15</t>
        </is>
      </c>
      <c r="E3" t="n">
        <v>1121001</v>
      </c>
      <c r="F3" t="inlineStr">
        <is>
          <t>حساب المشتري</t>
        </is>
      </c>
      <c r="G3" t="n">
        <v>11201001</v>
      </c>
      <c r="H3" t="inlineStr">
        <is>
          <t>المشتري/احمد الحبيشي</t>
        </is>
      </c>
      <c r="I3" t="n">
        <v>101000</v>
      </c>
      <c r="J3" t="n">
        <v>0</v>
      </c>
      <c r="K3" t="inlineStr">
        <is>
          <t>قيمة الفاتورة + الدلالة</t>
        </is>
      </c>
    </row>
    <row r="4">
      <c r="A4" t="n">
        <v>2</v>
      </c>
      <c r="B4" s="73" t="n">
        <v>46267</v>
      </c>
      <c r="C4" t="inlineStr">
        <is>
          <t>فاتورة مزارع</t>
        </is>
      </c>
      <c r="D4" t="inlineStr">
        <is>
          <t>فاتورة رقم 15</t>
        </is>
      </c>
      <c r="E4" t="n">
        <v>2111001</v>
      </c>
      <c r="F4" t="inlineStr">
        <is>
          <t>حساب المزارع</t>
        </is>
      </c>
      <c r="G4" t="n">
        <v>21102001</v>
      </c>
      <c r="H4" t="inlineStr">
        <is>
          <t>حساب المزارع/شاطر علي حمود شاطر</t>
        </is>
      </c>
      <c r="I4" t="n">
        <v>0</v>
      </c>
      <c r="J4" t="n">
        <v>91000</v>
      </c>
      <c r="K4" t="inlineStr">
        <is>
          <t>صافي مستحق المزارع بعد الخصميات</t>
        </is>
      </c>
    </row>
    <row r="5">
      <c r="A5" t="n">
        <v>3</v>
      </c>
      <c r="B5" s="73" t="n">
        <v>46267</v>
      </c>
      <c r="C5" t="inlineStr">
        <is>
          <t>فاتورة مزارع</t>
        </is>
      </c>
      <c r="D5" t="inlineStr">
        <is>
          <t>فاتورة رقم 15</t>
        </is>
      </c>
      <c r="E5" t="n">
        <v>4101</v>
      </c>
      <c r="F5" t="inlineStr">
        <is>
          <t>إيرادات عمولة المكتب</t>
        </is>
      </c>
      <c r="G5" t="n">
        <v>0</v>
      </c>
      <c r="I5" t="n">
        <v>0</v>
      </c>
      <c r="J5" t="n">
        <v>5000</v>
      </c>
      <c r="K5" t="inlineStr">
        <is>
          <t>عمولة المكتب 5%</t>
        </is>
      </c>
    </row>
    <row r="6">
      <c r="A6" t="n">
        <v>4</v>
      </c>
      <c r="B6" s="73" t="n">
        <v>46267</v>
      </c>
      <c r="C6" t="inlineStr">
        <is>
          <t>فاتورة مزارع</t>
        </is>
      </c>
      <c r="D6" t="inlineStr">
        <is>
          <t>فاتورة رقم 15</t>
        </is>
      </c>
      <c r="E6" t="n">
        <v>2121</v>
      </c>
      <c r="F6" t="inlineStr">
        <is>
          <t>أمانات الزكاة</t>
        </is>
      </c>
      <c r="G6" t="n">
        <v>21215006</v>
      </c>
      <c r="H6" t="inlineStr">
        <is>
          <t>محصل الزكاة/محمد علي همدان</t>
        </is>
      </c>
      <c r="I6" t="n">
        <v>0</v>
      </c>
      <c r="J6" t="n">
        <v>4000</v>
      </c>
      <c r="K6" t="inlineStr">
        <is>
          <t>استقطاع الزكاة 4%</t>
        </is>
      </c>
    </row>
    <row r="7">
      <c r="A7" t="n">
        <v>5</v>
      </c>
      <c r="B7" s="73" t="n">
        <v>46267</v>
      </c>
      <c r="C7" t="inlineStr">
        <is>
          <t>فاتورة مزارع</t>
        </is>
      </c>
      <c r="D7" t="inlineStr">
        <is>
          <t>فاتورة رقم 15</t>
        </is>
      </c>
      <c r="E7" t="n">
        <v>4102</v>
      </c>
      <c r="F7" t="inlineStr">
        <is>
          <t>إيرادات الدلالة</t>
        </is>
      </c>
      <c r="G7" t="n">
        <v>0</v>
      </c>
      <c r="I7" t="n">
        <v>0</v>
      </c>
      <c r="J7" t="n">
        <v>1000</v>
      </c>
      <c r="K7" t="inlineStr">
        <is>
          <t>رسوم الدلالة</t>
        </is>
      </c>
    </row>
    <row r="8">
      <c r="A8" t="n">
        <v>6</v>
      </c>
      <c r="B8" s="73" t="n">
        <v>46267</v>
      </c>
      <c r="C8" t="inlineStr">
        <is>
          <t>سند صرف</t>
        </is>
      </c>
      <c r="D8" t="inlineStr">
        <is>
          <t>فاتورة رقم 15</t>
        </is>
      </c>
      <c r="E8" t="n">
        <v>2111001</v>
      </c>
      <c r="F8" t="inlineStr">
        <is>
          <t>حساب المزارع</t>
        </is>
      </c>
      <c r="G8" t="n">
        <v>21102001</v>
      </c>
      <c r="H8" t="inlineStr">
        <is>
          <t>حساب المزارع/شاطر علي حمود شاطر</t>
        </is>
      </c>
      <c r="I8" t="n">
        <v>40000</v>
      </c>
      <c r="J8" t="n">
        <v>0</v>
      </c>
      <c r="K8" t="inlineStr">
        <is>
          <t>دفعة نقدية للمزارع من الفاتورة</t>
        </is>
      </c>
    </row>
    <row r="9">
      <c r="A9" t="n">
        <v>7</v>
      </c>
      <c r="B9" s="73" t="n">
        <v>46267</v>
      </c>
      <c r="C9" t="inlineStr">
        <is>
          <t>سند صرف</t>
        </is>
      </c>
      <c r="D9" t="inlineStr">
        <is>
          <t>فاتورة رقم 15</t>
        </is>
      </c>
      <c r="E9" t="n">
        <v>1111</v>
      </c>
      <c r="F9" t="inlineStr">
        <is>
          <t>الصندوق الرئيسي</t>
        </is>
      </c>
      <c r="G9" t="n">
        <v>0</v>
      </c>
      <c r="I9" t="n">
        <v>0</v>
      </c>
      <c r="J9" t="n">
        <v>40000</v>
      </c>
      <c r="K9" t="inlineStr">
        <is>
          <t>صرف دفعة للمزارع</t>
        </is>
      </c>
    </row>
    <row r="10">
      <c r="A10" t="n">
        <v>8</v>
      </c>
      <c r="B10" s="73" t="n">
        <v>46268</v>
      </c>
      <c r="C10" t="inlineStr">
        <is>
          <t>سند صرف</t>
        </is>
      </c>
      <c r="D10" t="inlineStr">
        <is>
          <t>سند صرف رقم 25</t>
        </is>
      </c>
      <c r="E10" t="n">
        <v>2111001</v>
      </c>
      <c r="F10" t="inlineStr">
        <is>
          <t>حساب المزارع</t>
        </is>
      </c>
      <c r="G10" t="n">
        <v>21102001</v>
      </c>
      <c r="H10" t="inlineStr">
        <is>
          <t>حساب المزارع/شاطر علي حمود شاطر</t>
        </is>
      </c>
      <c r="I10" t="n">
        <v>90000</v>
      </c>
      <c r="J10" t="n">
        <v>0</v>
      </c>
      <c r="K10" t="inlineStr">
        <is>
          <t>دفعة نقدية للمزارع من حسابه</t>
        </is>
      </c>
    </row>
    <row r="11">
      <c r="A11" t="n">
        <v>9</v>
      </c>
      <c r="B11" s="73" t="n">
        <v>46268</v>
      </c>
      <c r="C11" t="inlineStr">
        <is>
          <t>سند صرف</t>
        </is>
      </c>
      <c r="D11" t="inlineStr">
        <is>
          <t>سند صرف رقم 25</t>
        </is>
      </c>
      <c r="E11" t="n">
        <v>1111</v>
      </c>
      <c r="F11" t="inlineStr">
        <is>
          <t>الصندوق الرئيسي</t>
        </is>
      </c>
      <c r="G11" t="n">
        <v>0</v>
      </c>
      <c r="I11" t="n">
        <v>0</v>
      </c>
      <c r="J11" t="n">
        <v>90000</v>
      </c>
      <c r="K11" t="inlineStr">
        <is>
          <t>صرف دفعة للمزارع</t>
        </is>
      </c>
    </row>
    <row r="12">
      <c r="A12" t="n">
        <v>52641</v>
      </c>
      <c r="B12" t="inlineStr">
        <is>
          <t>2026-09-08</t>
        </is>
      </c>
      <c r="C12" t="inlineStr">
        <is>
          <t>سند صرف</t>
        </is>
      </c>
      <c r="D12" t="inlineStr">
        <is>
          <t>يدوي</t>
        </is>
      </c>
      <c r="E12" t="n">
        <v>1131</v>
      </c>
      <c r="F12" t="inlineStr">
        <is>
          <t>سلف ومقدمات المزارعين</t>
        </is>
      </c>
      <c r="G12" t="n">
        <v>21101045</v>
      </c>
      <c r="H12" t="inlineStr">
        <is>
          <t>هادي مبروك احمد الجميدر (مزارع)</t>
        </is>
      </c>
      <c r="I12" t="n">
        <v>1000</v>
      </c>
      <c r="J12" t="n">
        <v>0</v>
      </c>
      <c r="K12" t="inlineStr">
        <is>
          <t>دفعه من الحساب</t>
        </is>
      </c>
    </row>
    <row r="13">
      <c r="A13" t="n">
        <v>52641</v>
      </c>
      <c r="B13" t="inlineStr">
        <is>
          <t>2026-09-08</t>
        </is>
      </c>
      <c r="C13" t="inlineStr">
        <is>
          <t>سند صرف</t>
        </is>
      </c>
      <c r="D13" t="inlineStr">
        <is>
          <t>يدوي</t>
        </is>
      </c>
      <c r="E13" t="n">
        <v>1111</v>
      </c>
      <c r="F13" t="inlineStr">
        <is>
          <t>الصندوق الرئيسي</t>
        </is>
      </c>
      <c r="G13" t="n">
        <v>0</v>
      </c>
      <c r="I13" t="n">
        <v>0</v>
      </c>
      <c r="J13" t="n">
        <v>1000</v>
      </c>
      <c r="K13" t="inlineStr">
        <is>
          <t>دفعه من الحساب</t>
        </is>
      </c>
    </row>
    <row r="14">
      <c r="A14" t="n">
        <v>52700</v>
      </c>
      <c r="B14" t="inlineStr">
        <is>
          <t>2026-09-08</t>
        </is>
      </c>
      <c r="C14" t="inlineStr">
        <is>
          <t>سند صرف</t>
        </is>
      </c>
      <c r="D14" t="inlineStr">
        <is>
          <t>يدوي</t>
        </is>
      </c>
      <c r="E14" t="n">
        <v>1131</v>
      </c>
      <c r="F14" t="inlineStr">
        <is>
          <t>سلف ومقدمات المزارعين</t>
        </is>
      </c>
      <c r="G14" t="n">
        <v>21101045</v>
      </c>
      <c r="H14" t="inlineStr">
        <is>
          <t>هادي مبروك احمد الجميدر (مزارع)</t>
        </is>
      </c>
      <c r="I14" t="n">
        <v>1000</v>
      </c>
      <c r="J14" t="n">
        <v>0</v>
      </c>
      <c r="K14" t="inlineStr">
        <is>
          <t>دفعه من الحساب</t>
        </is>
      </c>
    </row>
    <row r="15">
      <c r="A15" t="n">
        <v>52700</v>
      </c>
      <c r="B15" t="inlineStr">
        <is>
          <t>2026-09-08</t>
        </is>
      </c>
      <c r="C15" t="inlineStr">
        <is>
          <t>سند صرف</t>
        </is>
      </c>
      <c r="D15" t="inlineStr">
        <is>
          <t>يدوي</t>
        </is>
      </c>
      <c r="E15" t="n">
        <v>1111</v>
      </c>
      <c r="F15" t="inlineStr">
        <is>
          <t>الصندوق الرئيسي</t>
        </is>
      </c>
      <c r="G15" t="n">
        <v>0</v>
      </c>
      <c r="I15" t="n">
        <v>0</v>
      </c>
      <c r="J15" t="n">
        <v>1000</v>
      </c>
      <c r="K15" t="inlineStr">
        <is>
          <t>دفعه من الحساب</t>
        </is>
      </c>
    </row>
    <row r="16">
      <c r="A16" t="n">
        <v>52710</v>
      </c>
      <c r="B16" t="inlineStr">
        <is>
          <t>2026-09-08</t>
        </is>
      </c>
      <c r="C16" t="inlineStr">
        <is>
          <t>سند صرف</t>
        </is>
      </c>
      <c r="D16" t="inlineStr">
        <is>
          <t>يدوي</t>
        </is>
      </c>
      <c r="E16" t="n">
        <v>1131</v>
      </c>
      <c r="F16" t="inlineStr">
        <is>
          <t>سلف ومقدمات المزارعين</t>
        </is>
      </c>
      <c r="G16" t="n">
        <v>21101045</v>
      </c>
      <c r="H16" t="inlineStr">
        <is>
          <t>هادي مبروك احمد الجميدر (مزارع)</t>
        </is>
      </c>
      <c r="I16" t="n">
        <v>1000</v>
      </c>
      <c r="J16" t="n">
        <v>0</v>
      </c>
      <c r="K16" t="inlineStr">
        <is>
          <t>دفعه من الحساب</t>
        </is>
      </c>
    </row>
    <row r="17">
      <c r="A17" t="n">
        <v>52710</v>
      </c>
      <c r="B17" t="inlineStr">
        <is>
          <t>2026-09-08</t>
        </is>
      </c>
      <c r="C17" t="inlineStr">
        <is>
          <t>سند صرف</t>
        </is>
      </c>
      <c r="D17" t="inlineStr">
        <is>
          <t>يدوي</t>
        </is>
      </c>
      <c r="E17" t="n">
        <v>1111</v>
      </c>
      <c r="F17" t="inlineStr">
        <is>
          <t>الصندوق الرئيسي</t>
        </is>
      </c>
      <c r="G17" t="n">
        <v>0</v>
      </c>
      <c r="I17" t="n">
        <v>0</v>
      </c>
      <c r="J17" t="n">
        <v>1000</v>
      </c>
      <c r="K17" t="inlineStr">
        <is>
          <t>دفعه من الحساب</t>
        </is>
      </c>
    </row>
    <row r="18">
      <c r="A18" t="n">
        <v>56476</v>
      </c>
      <c r="B18" t="inlineStr">
        <is>
          <t>2026-09-08</t>
        </is>
      </c>
      <c r="C18" t="inlineStr">
        <is>
          <t>قيد يدوي</t>
        </is>
      </c>
      <c r="D18" t="inlineStr">
        <is>
          <t>يدوي</t>
        </is>
      </c>
      <c r="E18" t="n">
        <v>1111</v>
      </c>
      <c r="F18" t="inlineStr">
        <is>
          <t>الصندوق الرئيسي</t>
        </is>
      </c>
      <c r="G18" t="n">
        <v>0</v>
      </c>
      <c r="I18" t="n">
        <v>1000</v>
      </c>
      <c r="J18" t="n">
        <v>0</v>
      </c>
    </row>
    <row r="19">
      <c r="A19" t="n">
        <v>56476</v>
      </c>
      <c r="B19" t="inlineStr">
        <is>
          <t>2026-09-08</t>
        </is>
      </c>
      <c r="C19" t="inlineStr">
        <is>
          <t>قيد يدوي</t>
        </is>
      </c>
      <c r="D19" t="inlineStr">
        <is>
          <t>يدوي</t>
        </is>
      </c>
      <c r="E19" t="n">
        <v>1111</v>
      </c>
      <c r="F19" t="inlineStr">
        <is>
          <t>الصندوق الرئيسي</t>
        </is>
      </c>
      <c r="G19" t="n">
        <v>0</v>
      </c>
      <c r="I19" t="n">
        <v>0</v>
      </c>
      <c r="J19" t="n">
        <v>1000</v>
      </c>
    </row>
    <row r="20">
      <c r="A20" t="n">
        <v>58641</v>
      </c>
      <c r="B20" s="73" t="n">
        <v>46273.50694444445</v>
      </c>
      <c r="C20" t="inlineStr">
        <is>
          <t>سند قبض</t>
        </is>
      </c>
      <c r="D20" t="inlineStr">
        <is>
          <t>يدوي</t>
        </is>
      </c>
      <c r="E20" t="n">
        <v>1122</v>
      </c>
      <c r="F20" t="inlineStr">
        <is>
          <t>ذمم المشترين</t>
        </is>
      </c>
      <c r="G20" t="n">
        <v>11201001</v>
      </c>
      <c r="H20" t="inlineStr">
        <is>
          <t>احمد الحبيشي (مشتري)</t>
        </is>
      </c>
      <c r="I20" t="n">
        <v>0</v>
      </c>
      <c r="J20" t="n">
        <v>1000</v>
      </c>
    </row>
    <row r="21">
      <c r="A21" t="n">
        <v>58641</v>
      </c>
      <c r="B21" s="73" t="n">
        <v>46273.50694444445</v>
      </c>
      <c r="C21" t="inlineStr">
        <is>
          <t>سند قبض</t>
        </is>
      </c>
      <c r="D21" t="inlineStr">
        <is>
          <t>يدوي</t>
        </is>
      </c>
      <c r="E21" t="n">
        <v>1111</v>
      </c>
      <c r="F21" t="inlineStr">
        <is>
          <t>الصندوق الرئيسي</t>
        </is>
      </c>
      <c r="G21" t="n">
        <v>0</v>
      </c>
      <c r="I21" t="n">
        <v>1000</v>
      </c>
      <c r="J21" t="n">
        <v>0</v>
      </c>
    </row>
    <row r="22">
      <c r="A22" t="n">
        <v>59283</v>
      </c>
      <c r="B22" s="73" t="n">
        <v>46273.51458333333</v>
      </c>
      <c r="C22" t="inlineStr">
        <is>
          <t>سند قبض</t>
        </is>
      </c>
      <c r="D22" t="inlineStr">
        <is>
          <t>يدوي</t>
        </is>
      </c>
      <c r="E22" t="n">
        <v>1121</v>
      </c>
      <c r="F22" t="inlineStr">
        <is>
          <t>ذمم المشترين</t>
        </is>
      </c>
      <c r="G22" t="n">
        <v>11201001</v>
      </c>
      <c r="H22" t="inlineStr">
        <is>
          <t>احمد الحبيشي (مشتري)</t>
        </is>
      </c>
      <c r="I22" t="n">
        <v>0</v>
      </c>
      <c r="J22" t="n">
        <v>1000</v>
      </c>
    </row>
    <row r="23">
      <c r="A23" t="n">
        <v>59283</v>
      </c>
      <c r="B23" s="73" t="n">
        <v>46273.51458333333</v>
      </c>
      <c r="C23" t="inlineStr">
        <is>
          <t>سند قبض</t>
        </is>
      </c>
      <c r="D23" t="inlineStr">
        <is>
          <t>يدوي</t>
        </is>
      </c>
      <c r="E23" t="n">
        <v>1111</v>
      </c>
      <c r="F23" t="inlineStr">
        <is>
          <t>الصندوق الرئيسي</t>
        </is>
      </c>
      <c r="G23" t="n">
        <v>0</v>
      </c>
      <c r="I23" t="n">
        <v>1000</v>
      </c>
      <c r="J23" t="n">
        <v>0</v>
      </c>
    </row>
    <row r="24">
      <c r="A24" t="n">
        <v>59284</v>
      </c>
      <c r="B24" s="73" t="n">
        <v>46285</v>
      </c>
      <c r="C24" t="inlineStr">
        <is>
          <t>سند قبض</t>
        </is>
      </c>
      <c r="D24" t="inlineStr">
        <is>
          <t>سند رقم 1</t>
        </is>
      </c>
      <c r="E24" t="n">
        <v>11111</v>
      </c>
      <c r="F24" t="inlineStr">
        <is>
          <t>صناديق فرعيه</t>
        </is>
      </c>
      <c r="G24" t="n">
        <v>0</v>
      </c>
      <c r="I24" t="n">
        <v>50000</v>
      </c>
      <c r="J24" t="n">
        <v>0</v>
      </c>
      <c r="K24" t="inlineStr">
        <is>
          <t>سند قبض رقم 1 — تحصيل نقدي</t>
        </is>
      </c>
    </row>
    <row r="25">
      <c r="A25" t="n">
        <v>59284</v>
      </c>
      <c r="B25" s="73" t="n">
        <v>46285</v>
      </c>
      <c r="C25" t="inlineStr">
        <is>
          <t>سند قبض</t>
        </is>
      </c>
      <c r="D25" t="inlineStr">
        <is>
          <t>سند رقم 1</t>
        </is>
      </c>
      <c r="E25" t="n">
        <v>1121</v>
      </c>
      <c r="F25" t="inlineStr">
        <is>
          <t>حسابات المشترين (تجميعي)</t>
        </is>
      </c>
      <c r="G25" t="n">
        <v>11201001</v>
      </c>
      <c r="H25" t="inlineStr">
        <is>
          <t>احمد الحبيشي</t>
        </is>
      </c>
      <c r="I25" t="n">
        <v>0</v>
      </c>
      <c r="J25" t="n">
        <v>50000</v>
      </c>
      <c r="K25" t="inlineStr">
        <is>
          <t>سند قبض رقم 1 — من احمد الحبيشي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rightToLeft="1" tabSelected="1" workbookViewId="0">
      <selection activeCell="I3" sqref="I3"/>
    </sheetView>
  </sheetViews>
  <sheetFormatPr baseColWidth="8" defaultRowHeight="13.8"/>
  <cols>
    <col width="17.69921875" bestFit="1" customWidth="1" min="8" max="8"/>
  </cols>
  <sheetData>
    <row r="1">
      <c r="A1" t="inlineStr">
        <is>
          <t>رقم السند</t>
        </is>
      </c>
      <c r="B1" t="inlineStr">
        <is>
          <t>نوع السند</t>
        </is>
      </c>
      <c r="C1" t="inlineStr">
        <is>
          <t>رقم حساب الدافع</t>
        </is>
      </c>
      <c r="D1" t="inlineStr">
        <is>
          <t>اسم الدافع</t>
        </is>
      </c>
      <c r="E1" t="inlineStr">
        <is>
          <t>رقم حساب المستلم</t>
        </is>
      </c>
      <c r="F1" t="inlineStr">
        <is>
          <t>اسم المستلم</t>
        </is>
      </c>
      <c r="G1" t="inlineStr">
        <is>
          <t>المبلغ المدفوع</t>
        </is>
      </c>
      <c r="H1" t="inlineStr">
        <is>
          <t>تاريخ الحركة</t>
        </is>
      </c>
      <c r="I1" t="inlineStr">
        <is>
          <t>طريقه الدفع</t>
        </is>
      </c>
      <c r="J1" t="inlineStr">
        <is>
          <t>اسم شبكة الصرافة</t>
        </is>
      </c>
      <c r="K1" t="inlineStr">
        <is>
          <t>رقم الحواله</t>
        </is>
      </c>
      <c r="L1" t="inlineStr">
        <is>
          <t>ملاحظات والبيان</t>
        </is>
      </c>
    </row>
    <row r="2">
      <c r="A2" t="inlineStr">
        <is>
          <t>PaymentID</t>
        </is>
      </c>
      <c r="B2" t="inlineStr">
        <is>
          <t>PaymentType</t>
        </is>
      </c>
      <c r="C2" t="inlineStr">
        <is>
          <t>Payor_subAccountCode</t>
        </is>
      </c>
      <c r="D2" t="inlineStr">
        <is>
          <t>Payor_Name</t>
        </is>
      </c>
      <c r="E2" t="inlineStr">
        <is>
          <t>Recipient_subAccountCode</t>
        </is>
      </c>
      <c r="F2" t="inlineStr">
        <is>
          <t>Recipient_Name</t>
        </is>
      </c>
      <c r="G2" t="inlineStr">
        <is>
          <t>Amount</t>
        </is>
      </c>
      <c r="H2" t="inlineStr">
        <is>
          <t>PaymentDate</t>
        </is>
      </c>
      <c r="I2" t="inlineStr">
        <is>
          <t>PaymentMethod</t>
        </is>
      </c>
      <c r="J2" t="inlineStr">
        <is>
          <t>NetworkName</t>
        </is>
      </c>
      <c r="K2" t="inlineStr">
        <is>
          <t>PaymentNo</t>
        </is>
      </c>
      <c r="L2" t="inlineStr">
        <is>
          <t>Notes</t>
        </is>
      </c>
    </row>
    <row r="3">
      <c r="A3" t="n">
        <v>1</v>
      </c>
      <c r="B3" t="inlineStr">
        <is>
          <t>سند قبض</t>
        </is>
      </c>
      <c r="C3" t="n">
        <v>11201001</v>
      </c>
      <c r="D3" t="inlineStr">
        <is>
          <t>احمد الحبيشي</t>
        </is>
      </c>
      <c r="E3" t="n">
        <v>11111</v>
      </c>
      <c r="F3" t="inlineStr">
        <is>
          <t>صناديق فرعيه</t>
        </is>
      </c>
      <c r="G3" t="n">
        <v>50000</v>
      </c>
      <c r="H3" s="73" t="n">
        <v>46285.48310423611</v>
      </c>
      <c r="I3" t="inlineStr">
        <is>
          <t>نقداً</t>
        </is>
      </c>
      <c r="J3" t="inlineStr">
        <is>
          <t>نقد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K89"/>
  <sheetViews>
    <sheetView rightToLeft="1" zoomScale="115" zoomScaleNormal="115" workbookViewId="0">
      <selection activeCell="D11" sqref="D11"/>
    </sheetView>
  </sheetViews>
  <sheetFormatPr baseColWidth="8" defaultRowHeight="13.8"/>
  <cols>
    <col width="6.59765625" customWidth="1" min="1" max="1"/>
    <col width="24.19921875" bestFit="1" customWidth="1" min="2" max="2"/>
    <col width="9.09765625" bestFit="1" customWidth="1" min="3" max="3"/>
    <col width="6.5" bestFit="1" customWidth="1" min="4" max="4"/>
    <col width="8.8984375" bestFit="1" customWidth="1" min="5" max="5"/>
    <col width="9.8984375" bestFit="1" customWidth="1" min="6" max="6"/>
    <col width="19" bestFit="1" customWidth="1" min="7" max="7"/>
    <col width="4.59765625" bestFit="1" customWidth="1" min="8" max="9"/>
    <col width="40.5" customWidth="1" min="10" max="10"/>
  </cols>
  <sheetData>
    <row r="1" ht="15.6" customHeight="1">
      <c r="A1" s="25" t="inlineStr">
        <is>
          <t>رقم الحساب</t>
        </is>
      </c>
      <c r="B1" s="25" t="inlineStr">
        <is>
          <t>اسم الحساب</t>
        </is>
      </c>
      <c r="C1" s="25" t="inlineStr">
        <is>
          <t>الحساب الأب</t>
        </is>
      </c>
      <c r="D1" s="25" t="inlineStr">
        <is>
          <t>المستوى</t>
        </is>
      </c>
      <c r="E1" s="25" t="inlineStr">
        <is>
          <t>نوع الحساب</t>
        </is>
      </c>
      <c r="F1" s="25" t="inlineStr">
        <is>
          <t>طبيعة الحساب</t>
        </is>
      </c>
      <c r="G1" s="25" t="inlineStr">
        <is>
          <t>حساب حركة (قابل للترحيل)</t>
        </is>
      </c>
      <c r="H1" s="25" t="inlineStr">
        <is>
          <t>العملة</t>
        </is>
      </c>
      <c r="I1" s="25" t="inlineStr">
        <is>
          <t>الحالة</t>
        </is>
      </c>
      <c r="J1" s="31" t="inlineStr">
        <is>
          <t>قوائم الحسابات</t>
        </is>
      </c>
    </row>
    <row r="2" hidden="1">
      <c r="A2" s="26" t="n">
        <v>1</v>
      </c>
      <c r="B2" s="19" t="inlineStr">
        <is>
          <t>الأصول</t>
        </is>
      </c>
      <c r="C2" s="19" t="n">
        <v>0</v>
      </c>
      <c r="D2" s="19" t="n">
        <v>1</v>
      </c>
      <c r="E2" s="19" t="inlineStr">
        <is>
          <t>أصول</t>
        </is>
      </c>
      <c r="F2" s="19" t="inlineStr">
        <is>
          <t>مدين</t>
        </is>
      </c>
      <c r="G2" s="19" t="inlineStr">
        <is>
          <t>لا</t>
        </is>
      </c>
      <c r="H2" s="19" t="inlineStr">
        <is>
          <t>YER</t>
        </is>
      </c>
      <c r="I2" s="19" t="inlineStr">
        <is>
          <t>نشط</t>
        </is>
      </c>
      <c r="J2" s="19" t="n"/>
      <c r="K2">
        <f>LEN(A2)</f>
        <v/>
      </c>
    </row>
    <row r="3" hidden="1">
      <c r="A3" s="26" t="n">
        <v>11</v>
      </c>
      <c r="B3" s="19" t="inlineStr">
        <is>
          <t>الأصول المتداولة</t>
        </is>
      </c>
      <c r="C3" s="19" t="n">
        <v>1</v>
      </c>
      <c r="D3" s="19" t="n">
        <v>2</v>
      </c>
      <c r="E3" s="19" t="inlineStr">
        <is>
          <t>أصول</t>
        </is>
      </c>
      <c r="F3" s="19" t="inlineStr">
        <is>
          <t>مدين</t>
        </is>
      </c>
      <c r="G3" s="19" t="inlineStr">
        <is>
          <t>لا</t>
        </is>
      </c>
      <c r="H3" s="19" t="inlineStr">
        <is>
          <t>YER</t>
        </is>
      </c>
      <c r="I3" s="19" t="inlineStr">
        <is>
          <t>نشط</t>
        </is>
      </c>
      <c r="J3" s="19" t="n"/>
      <c r="K3">
        <f>LEN(A3)</f>
        <v/>
      </c>
    </row>
    <row r="4" hidden="1">
      <c r="A4" s="26" t="n">
        <v>111</v>
      </c>
      <c r="B4" s="19" t="inlineStr">
        <is>
          <t>النقدية وما في حكمها</t>
        </is>
      </c>
      <c r="C4" s="19" t="n">
        <v>11</v>
      </c>
      <c r="D4" s="19" t="n">
        <v>3</v>
      </c>
      <c r="E4" s="19" t="inlineStr">
        <is>
          <t>أصول</t>
        </is>
      </c>
      <c r="F4" s="19" t="inlineStr">
        <is>
          <t>مدين</t>
        </is>
      </c>
      <c r="G4" s="19" t="inlineStr">
        <is>
          <t>لا</t>
        </is>
      </c>
      <c r="H4" s="19" t="inlineStr">
        <is>
          <t>YER</t>
        </is>
      </c>
      <c r="I4" s="19" t="inlineStr">
        <is>
          <t>نشط</t>
        </is>
      </c>
      <c r="J4" s="19" t="n"/>
      <c r="K4">
        <f>LEN(A4)</f>
        <v/>
      </c>
    </row>
    <row r="5" hidden="1">
      <c r="A5" s="19" t="n">
        <v>1111</v>
      </c>
      <c r="B5" s="19" t="inlineStr">
        <is>
          <t>الصندوق الرئيسي</t>
        </is>
      </c>
      <c r="C5" s="19" t="n">
        <v>111</v>
      </c>
      <c r="D5" s="19" t="n">
        <v>4</v>
      </c>
      <c r="E5" s="19" t="inlineStr">
        <is>
          <t>أصول</t>
        </is>
      </c>
      <c r="F5" s="19" t="inlineStr">
        <is>
          <t>مدين</t>
        </is>
      </c>
      <c r="G5" s="19" t="inlineStr">
        <is>
          <t>نعم</t>
        </is>
      </c>
      <c r="H5" s="19" t="inlineStr">
        <is>
          <t>YER</t>
        </is>
      </c>
      <c r="I5" s="19" t="inlineStr">
        <is>
          <t>نشط</t>
        </is>
      </c>
      <c r="J5" s="19" t="n"/>
      <c r="K5">
        <f>LEN(A5)</f>
        <v/>
      </c>
    </row>
    <row r="6" hidden="1">
      <c r="A6" s="19" t="n">
        <v>11111</v>
      </c>
      <c r="B6" s="19" t="inlineStr">
        <is>
          <t>صناديق فرعيه</t>
        </is>
      </c>
      <c r="C6" s="19" t="n">
        <v>1111</v>
      </c>
      <c r="D6" s="19" t="n">
        <v>5</v>
      </c>
      <c r="E6" s="19" t="inlineStr">
        <is>
          <t>أصول</t>
        </is>
      </c>
      <c r="F6" s="19" t="inlineStr">
        <is>
          <t>مدين</t>
        </is>
      </c>
      <c r="G6" s="19" t="inlineStr">
        <is>
          <t>نعم</t>
        </is>
      </c>
      <c r="H6" s="19" t="inlineStr">
        <is>
          <t>YER</t>
        </is>
      </c>
      <c r="I6" s="19" t="inlineStr">
        <is>
          <t>نشط</t>
        </is>
      </c>
      <c r="J6" s="19" t="inlineStr">
        <is>
          <t>TableEmployees</t>
        </is>
      </c>
      <c r="K6">
        <f>LEN(A6)</f>
        <v/>
      </c>
    </row>
    <row r="7" ht="15" customHeight="1">
      <c r="A7" s="53" t="n">
        <v>11112</v>
      </c>
      <c r="B7" s="19" t="inlineStr">
        <is>
          <t>بنوك ومصارف</t>
        </is>
      </c>
      <c r="C7" s="19" t="n">
        <v>1111</v>
      </c>
      <c r="D7" s="19" t="n">
        <v>5</v>
      </c>
      <c r="E7" s="19" t="inlineStr">
        <is>
          <t>أصول</t>
        </is>
      </c>
      <c r="F7" s="19" t="inlineStr">
        <is>
          <t>مدين</t>
        </is>
      </c>
      <c r="G7" s="19" t="inlineStr">
        <is>
          <t>نعم</t>
        </is>
      </c>
      <c r="H7" s="19" t="inlineStr">
        <is>
          <t>YER</t>
        </is>
      </c>
      <c r="I7" s="19" t="inlineStr">
        <is>
          <t>نشط</t>
        </is>
      </c>
      <c r="J7" s="19" t="inlineStr">
        <is>
          <t>TableBanksAndExchanges</t>
        </is>
      </c>
      <c r="K7">
        <f>LEN(A7)</f>
        <v/>
      </c>
    </row>
    <row r="8" ht="15" customHeight="1">
      <c r="A8" s="53" t="n">
        <v>11113</v>
      </c>
      <c r="B8" s="19" t="inlineStr">
        <is>
          <t>محافظ الكترونيه</t>
        </is>
      </c>
      <c r="C8" s="19" t="n">
        <v>1111</v>
      </c>
      <c r="D8" s="19" t="n">
        <v>5</v>
      </c>
      <c r="E8" s="19" t="inlineStr">
        <is>
          <t>أصول</t>
        </is>
      </c>
      <c r="F8" s="19" t="inlineStr">
        <is>
          <t>مدين</t>
        </is>
      </c>
      <c r="G8" s="19" t="inlineStr">
        <is>
          <t>نعم</t>
        </is>
      </c>
      <c r="H8" s="19" t="inlineStr">
        <is>
          <t>YER</t>
        </is>
      </c>
      <c r="I8" s="19" t="inlineStr">
        <is>
          <t>نشط</t>
        </is>
      </c>
      <c r="J8" s="19" t="inlineStr">
        <is>
          <t>TableElectronicWallets</t>
        </is>
      </c>
      <c r="K8">
        <f>LEN(A8)</f>
        <v/>
      </c>
    </row>
    <row r="9" hidden="1">
      <c r="A9" s="26" t="n">
        <v>112</v>
      </c>
      <c r="B9" s="19" t="inlineStr">
        <is>
          <t>مدينون وحسابات المشترين</t>
        </is>
      </c>
      <c r="C9" s="19" t="n">
        <v>11</v>
      </c>
      <c r="D9" s="19" t="n">
        <v>3</v>
      </c>
      <c r="E9" s="19" t="inlineStr">
        <is>
          <t>أصول</t>
        </is>
      </c>
      <c r="F9" s="19" t="inlineStr">
        <is>
          <t>مدين</t>
        </is>
      </c>
      <c r="G9" s="19" t="inlineStr">
        <is>
          <t>لا</t>
        </is>
      </c>
      <c r="H9" s="19" t="inlineStr">
        <is>
          <t>YER</t>
        </is>
      </c>
      <c r="I9" s="19" t="inlineStr">
        <is>
          <t>نشط</t>
        </is>
      </c>
      <c r="J9" s="19" t="n"/>
      <c r="K9">
        <f>LEN(A9)</f>
        <v/>
      </c>
    </row>
    <row r="10" hidden="1">
      <c r="A10" s="26" t="n">
        <v>1121</v>
      </c>
      <c r="B10" s="19" t="inlineStr">
        <is>
          <t>حسابات المشترين (تجميعي)</t>
        </is>
      </c>
      <c r="C10" s="19" t="n">
        <v>112</v>
      </c>
      <c r="D10" s="19" t="n">
        <v>4</v>
      </c>
      <c r="E10" s="19" t="inlineStr">
        <is>
          <t>أصول</t>
        </is>
      </c>
      <c r="F10" s="19" t="inlineStr">
        <is>
          <t>مدين</t>
        </is>
      </c>
      <c r="G10" s="19" t="inlineStr">
        <is>
          <t>نعم</t>
        </is>
      </c>
      <c r="H10" s="19" t="inlineStr">
        <is>
          <t>YER</t>
        </is>
      </c>
      <c r="I10" s="19" t="inlineStr">
        <is>
          <t>نشط</t>
        </is>
      </c>
      <c r="J10" s="19" t="n"/>
      <c r="K10">
        <f>LEN(A10)</f>
        <v/>
      </c>
    </row>
    <row r="11" ht="15" customHeight="1">
      <c r="A11" s="53" t="n">
        <v>11212</v>
      </c>
      <c r="B11" s="19" t="inlineStr">
        <is>
          <t>حساب المشتري تحليلي</t>
        </is>
      </c>
      <c r="C11" s="19" t="n">
        <v>1120</v>
      </c>
      <c r="D11" s="19" t="n">
        <v>5</v>
      </c>
      <c r="E11" s="19" t="inlineStr">
        <is>
          <t>أصول</t>
        </is>
      </c>
      <c r="F11" s="19" t="inlineStr">
        <is>
          <t>مدين</t>
        </is>
      </c>
      <c r="G11" s="19" t="inlineStr">
        <is>
          <t>نعم</t>
        </is>
      </c>
      <c r="H11" s="19" t="inlineStr">
        <is>
          <t>YER</t>
        </is>
      </c>
      <c r="I11" s="19" t="inlineStr">
        <is>
          <t>نشط</t>
        </is>
      </c>
      <c r="J11" s="19" t="inlineStr">
        <is>
          <t>TableBuyers</t>
        </is>
      </c>
      <c r="K11">
        <f>LEN(A11)</f>
        <v/>
      </c>
    </row>
    <row r="12" hidden="1">
      <c r="A12" s="52" t="n">
        <v>1122</v>
      </c>
      <c r="B12" s="19" t="inlineStr">
        <is>
          <t>حساب الديون المشكوك فيها</t>
        </is>
      </c>
      <c r="C12" s="19" t="n">
        <v>1120</v>
      </c>
      <c r="D12" s="19" t="n">
        <v>4</v>
      </c>
      <c r="E12" s="19" t="inlineStr">
        <is>
          <t>أصول</t>
        </is>
      </c>
      <c r="F12" s="19" t="inlineStr">
        <is>
          <t>مدين</t>
        </is>
      </c>
      <c r="G12" s="19" t="inlineStr">
        <is>
          <t>نعم</t>
        </is>
      </c>
      <c r="H12" s="19" t="inlineStr">
        <is>
          <t>YER</t>
        </is>
      </c>
      <c r="I12" s="19" t="inlineStr">
        <is>
          <t>نشط</t>
        </is>
      </c>
      <c r="J12" s="19" t="inlineStr">
        <is>
          <t>TableBuyers</t>
        </is>
      </c>
      <c r="K12">
        <f>LEN(A12)</f>
        <v/>
      </c>
    </row>
    <row r="13" ht="15.6" customHeight="1">
      <c r="A13" s="54" t="n">
        <v>11221</v>
      </c>
      <c r="B13" s="19" t="inlineStr">
        <is>
          <t>ديون مشكوك فيها لدى المشترين</t>
        </is>
      </c>
      <c r="C13" s="19" t="n">
        <v>1120</v>
      </c>
      <c r="D13" s="19" t="n">
        <v>5</v>
      </c>
      <c r="E13" s="19" t="inlineStr">
        <is>
          <t>أصول</t>
        </is>
      </c>
      <c r="F13" s="19" t="inlineStr">
        <is>
          <t>مدين</t>
        </is>
      </c>
      <c r="G13" s="19" t="inlineStr">
        <is>
          <t>نعم</t>
        </is>
      </c>
      <c r="H13" s="19" t="inlineStr">
        <is>
          <t>YER</t>
        </is>
      </c>
      <c r="I13" s="19" t="inlineStr">
        <is>
          <t>نشط</t>
        </is>
      </c>
      <c r="J13" s="19" t="inlineStr">
        <is>
          <t>TableBuyers</t>
        </is>
      </c>
      <c r="K13">
        <f>LEN(A13)</f>
        <v/>
      </c>
    </row>
    <row r="14" hidden="1">
      <c r="A14" s="26" t="n">
        <v>113</v>
      </c>
      <c r="B14" s="19" t="inlineStr">
        <is>
          <t>السلف والمدينون الآخرون</t>
        </is>
      </c>
      <c r="C14" s="19" t="n">
        <v>11</v>
      </c>
      <c r="D14" s="19" t="n">
        <v>3</v>
      </c>
      <c r="E14" s="19" t="inlineStr">
        <is>
          <t>أصول</t>
        </is>
      </c>
      <c r="F14" s="19" t="inlineStr">
        <is>
          <t>مدين</t>
        </is>
      </c>
      <c r="G14" s="19" t="inlineStr">
        <is>
          <t>لا</t>
        </is>
      </c>
      <c r="H14" s="19" t="inlineStr">
        <is>
          <t>YER</t>
        </is>
      </c>
      <c r="I14" s="19" t="inlineStr">
        <is>
          <t>نشط</t>
        </is>
      </c>
      <c r="J14" s="19" t="n"/>
      <c r="K14">
        <f>LEN(A14)</f>
        <v/>
      </c>
    </row>
    <row r="15" hidden="1">
      <c r="A15" s="19" t="n">
        <v>1113</v>
      </c>
      <c r="B15" s="19" t="inlineStr">
        <is>
          <t>مبالغ معلقة تحت التسوية</t>
        </is>
      </c>
      <c r="C15" s="19" t="n">
        <v>113</v>
      </c>
      <c r="D15" s="19" t="n">
        <v>4</v>
      </c>
      <c r="E15" s="19" t="inlineStr">
        <is>
          <t>أصول</t>
        </is>
      </c>
      <c r="F15" s="19" t="inlineStr">
        <is>
          <t>مدين</t>
        </is>
      </c>
      <c r="G15" s="19" t="inlineStr">
        <is>
          <t>نعم</t>
        </is>
      </c>
      <c r="H15" s="19" t="inlineStr">
        <is>
          <t>YER</t>
        </is>
      </c>
      <c r="I15" s="19" t="inlineStr">
        <is>
          <t>نشط</t>
        </is>
      </c>
      <c r="J15" s="23" t="n"/>
      <c r="K15">
        <f>LEN(A15)</f>
        <v/>
      </c>
    </row>
    <row r="16" ht="15" customHeight="1">
      <c r="A16" s="53" t="n">
        <v>11310</v>
      </c>
      <c r="B16" s="19" t="inlineStr">
        <is>
          <t>سلف المزارعين</t>
        </is>
      </c>
      <c r="C16" s="19" t="n">
        <v>113</v>
      </c>
      <c r="D16" s="19" t="n">
        <v>5</v>
      </c>
      <c r="E16" s="19" t="inlineStr">
        <is>
          <t>أصول</t>
        </is>
      </c>
      <c r="F16" s="19" t="inlineStr">
        <is>
          <t>مدين</t>
        </is>
      </c>
      <c r="G16" s="19" t="inlineStr">
        <is>
          <t>نعم</t>
        </is>
      </c>
      <c r="H16" s="19" t="inlineStr">
        <is>
          <t>YER</t>
        </is>
      </c>
      <c r="I16" s="19" t="inlineStr">
        <is>
          <t>نشط</t>
        </is>
      </c>
      <c r="J16" s="19" t="inlineStr">
        <is>
          <t>TableFarmers</t>
        </is>
      </c>
      <c r="K16">
        <f>LEN(A16)</f>
        <v/>
      </c>
    </row>
    <row r="17" hidden="1">
      <c r="A17" s="19" t="n">
        <v>1132</v>
      </c>
      <c r="B17" s="19" t="inlineStr">
        <is>
          <t>سلف وعهد الموظفين</t>
        </is>
      </c>
      <c r="C17" s="19" t="n">
        <v>113</v>
      </c>
      <c r="D17" s="19" t="n">
        <v>4</v>
      </c>
      <c r="E17" s="19" t="inlineStr">
        <is>
          <t>أصول</t>
        </is>
      </c>
      <c r="F17" s="19" t="inlineStr">
        <is>
          <t>مدين</t>
        </is>
      </c>
      <c r="G17" s="19" t="inlineStr">
        <is>
          <t>نعم</t>
        </is>
      </c>
      <c r="H17" s="19" t="inlineStr">
        <is>
          <t>YER</t>
        </is>
      </c>
      <c r="I17" s="19" t="inlineStr">
        <is>
          <t>نشط</t>
        </is>
      </c>
      <c r="J17" s="23" t="n"/>
      <c r="K17">
        <f>LEN(A17)</f>
        <v/>
      </c>
    </row>
    <row r="18" ht="15" customHeight="1">
      <c r="A18" s="53" t="n">
        <v>11321</v>
      </c>
      <c r="B18" s="19" t="inlineStr">
        <is>
          <t>عهد الموظفين</t>
        </is>
      </c>
      <c r="C18" s="19" t="n">
        <v>1132</v>
      </c>
      <c r="D18" s="19" t="n">
        <v>5</v>
      </c>
      <c r="E18" s="19" t="inlineStr">
        <is>
          <t>أصول</t>
        </is>
      </c>
      <c r="F18" s="19" t="inlineStr">
        <is>
          <t>مدين</t>
        </is>
      </c>
      <c r="G18" s="19" t="inlineStr">
        <is>
          <t>نعم</t>
        </is>
      </c>
      <c r="H18" s="19" t="inlineStr">
        <is>
          <t>YER</t>
        </is>
      </c>
      <c r="I18" s="19" t="inlineStr">
        <is>
          <t>نشط</t>
        </is>
      </c>
      <c r="J18" s="23" t="inlineStr">
        <is>
          <t>TableEmployees</t>
        </is>
      </c>
      <c r="K18">
        <f>LEN(A18)</f>
        <v/>
      </c>
    </row>
    <row r="19" ht="15" customHeight="1">
      <c r="A19" s="53" t="n">
        <v>11322</v>
      </c>
      <c r="B19" s="19" t="inlineStr">
        <is>
          <t>سلف الموظفين</t>
        </is>
      </c>
      <c r="C19" s="19" t="n">
        <v>1132</v>
      </c>
      <c r="D19" s="19" t="n">
        <v>5</v>
      </c>
      <c r="E19" s="19" t="inlineStr">
        <is>
          <t>أصول</t>
        </is>
      </c>
      <c r="F19" s="19" t="inlineStr">
        <is>
          <t>مدين</t>
        </is>
      </c>
      <c r="G19" s="19" t="inlineStr">
        <is>
          <t>نعم</t>
        </is>
      </c>
      <c r="H19" s="19" t="inlineStr">
        <is>
          <t>YER</t>
        </is>
      </c>
      <c r="I19" s="19" t="inlineStr">
        <is>
          <t>نشط</t>
        </is>
      </c>
      <c r="J19" s="23" t="inlineStr">
        <is>
          <t>TableEmployees</t>
        </is>
      </c>
      <c r="K19">
        <f>LEN(A19)</f>
        <v/>
      </c>
    </row>
    <row r="20" hidden="1">
      <c r="A20" s="26" t="n">
        <v>12</v>
      </c>
      <c r="B20" s="19" t="inlineStr">
        <is>
          <t>الأصول غير المتداولة</t>
        </is>
      </c>
      <c r="C20" s="19" t="n">
        <v>1</v>
      </c>
      <c r="D20" s="19" t="n">
        <v>2</v>
      </c>
      <c r="E20" s="19" t="inlineStr">
        <is>
          <t>أصول</t>
        </is>
      </c>
      <c r="F20" s="19" t="inlineStr">
        <is>
          <t>مدين</t>
        </is>
      </c>
      <c r="G20" s="19" t="inlineStr">
        <is>
          <t>لا</t>
        </is>
      </c>
      <c r="H20" s="19" t="inlineStr">
        <is>
          <t>YER</t>
        </is>
      </c>
      <c r="I20" s="19" t="inlineStr">
        <is>
          <t>نشط</t>
        </is>
      </c>
      <c r="J20" s="19" t="n"/>
      <c r="K20">
        <f>LEN(A20)</f>
        <v/>
      </c>
    </row>
    <row r="21" hidden="1">
      <c r="A21" s="26" t="n">
        <v>121</v>
      </c>
      <c r="B21" s="19" t="inlineStr">
        <is>
          <t>الأصول الثابتة</t>
        </is>
      </c>
      <c r="C21" s="19" t="n">
        <v>12</v>
      </c>
      <c r="D21" s="19" t="n">
        <v>3</v>
      </c>
      <c r="E21" s="19" t="inlineStr">
        <is>
          <t>أصول</t>
        </is>
      </c>
      <c r="F21" s="19" t="inlineStr">
        <is>
          <t>مدين</t>
        </is>
      </c>
      <c r="G21" s="19" t="inlineStr">
        <is>
          <t>لا</t>
        </is>
      </c>
      <c r="H21" s="19" t="inlineStr">
        <is>
          <t>YER</t>
        </is>
      </c>
      <c r="I21" s="19" t="inlineStr">
        <is>
          <t>نشط</t>
        </is>
      </c>
      <c r="J21" s="19" t="n"/>
      <c r="K21">
        <f>LEN(A21)</f>
        <v/>
      </c>
    </row>
    <row r="22" hidden="1">
      <c r="A22" s="19" t="n">
        <v>1211</v>
      </c>
      <c r="B22" s="19" t="inlineStr">
        <is>
          <t>معدات وأدوات تقطيع ووزن</t>
        </is>
      </c>
      <c r="C22" s="19" t="n">
        <v>121</v>
      </c>
      <c r="D22" s="19" t="n">
        <v>4</v>
      </c>
      <c r="E22" s="19" t="inlineStr">
        <is>
          <t>أصول</t>
        </is>
      </c>
      <c r="F22" s="19" t="inlineStr">
        <is>
          <t>مدين</t>
        </is>
      </c>
      <c r="G22" s="19" t="inlineStr">
        <is>
          <t>نعم</t>
        </is>
      </c>
      <c r="H22" s="19" t="inlineStr">
        <is>
          <t>YER</t>
        </is>
      </c>
      <c r="I22" s="19" t="inlineStr">
        <is>
          <t>نشط</t>
        </is>
      </c>
      <c r="J22" s="19" t="n"/>
      <c r="K22">
        <f>LEN(A22)</f>
        <v/>
      </c>
    </row>
    <row r="23" hidden="1">
      <c r="A23" s="19" t="n">
        <v>1212</v>
      </c>
      <c r="B23" s="19" t="inlineStr">
        <is>
          <t>أثاث وتجهيزات السوق</t>
        </is>
      </c>
      <c r="C23" s="19" t="n">
        <v>121</v>
      </c>
      <c r="D23" s="19" t="n">
        <v>4</v>
      </c>
      <c r="E23" s="19" t="inlineStr">
        <is>
          <t>أصول</t>
        </is>
      </c>
      <c r="F23" s="19" t="inlineStr">
        <is>
          <t>مدين</t>
        </is>
      </c>
      <c r="G23" s="19" t="inlineStr">
        <is>
          <t>نعم</t>
        </is>
      </c>
      <c r="H23" s="19" t="inlineStr">
        <is>
          <t>YER</t>
        </is>
      </c>
      <c r="I23" s="19" t="inlineStr">
        <is>
          <t>نشط</t>
        </is>
      </c>
      <c r="J23" s="19" t="n"/>
      <c r="K23">
        <f>LEN(A23)</f>
        <v/>
      </c>
    </row>
    <row r="24" hidden="1">
      <c r="A24" s="19" t="n">
        <v>1213</v>
      </c>
      <c r="B24" s="19" t="inlineStr">
        <is>
          <t>أجهزة كمبيوتر وأنظمة شبكات</t>
        </is>
      </c>
      <c r="C24" s="19" t="n">
        <v>121</v>
      </c>
      <c r="D24" s="19" t="n">
        <v>4</v>
      </c>
      <c r="E24" s="19" t="inlineStr">
        <is>
          <t>أصول</t>
        </is>
      </c>
      <c r="F24" s="19" t="inlineStr">
        <is>
          <t>مدين</t>
        </is>
      </c>
      <c r="G24" s="19" t="inlineStr">
        <is>
          <t>نعم</t>
        </is>
      </c>
      <c r="H24" s="19" t="inlineStr">
        <is>
          <t>YER</t>
        </is>
      </c>
      <c r="I24" s="19" t="inlineStr">
        <is>
          <t>نشط</t>
        </is>
      </c>
      <c r="J24" s="19" t="n"/>
      <c r="K24">
        <f>LEN(A24)</f>
        <v/>
      </c>
    </row>
    <row r="25" hidden="1">
      <c r="A25" s="26" t="n">
        <v>122</v>
      </c>
      <c r="B25" s="19" t="inlineStr">
        <is>
          <t>مجمع الإهلاك المتركم</t>
        </is>
      </c>
      <c r="C25" s="19" t="n">
        <v>12</v>
      </c>
      <c r="D25" s="19" t="n">
        <v>3</v>
      </c>
      <c r="E25" s="19" t="inlineStr">
        <is>
          <t>أصول</t>
        </is>
      </c>
      <c r="F25" s="19" t="inlineStr">
        <is>
          <t>مدين</t>
        </is>
      </c>
      <c r="G25" s="19" t="inlineStr">
        <is>
          <t>لا</t>
        </is>
      </c>
      <c r="H25" s="19" t="inlineStr">
        <is>
          <t>YER</t>
        </is>
      </c>
      <c r="I25" s="19" t="inlineStr">
        <is>
          <t>نشط</t>
        </is>
      </c>
      <c r="J25" s="19" t="n"/>
      <c r="K25">
        <f>LEN(A25)</f>
        <v/>
      </c>
    </row>
    <row r="26" hidden="1">
      <c r="A26" s="19" t="n">
        <v>1221</v>
      </c>
      <c r="B26" s="19" t="inlineStr">
        <is>
          <t>مجمع إهلاك الأصول الثابتة</t>
        </is>
      </c>
      <c r="C26" s="19" t="n">
        <v>122</v>
      </c>
      <c r="D26" s="19" t="n">
        <v>4</v>
      </c>
      <c r="E26" s="19" t="inlineStr">
        <is>
          <t>أصول</t>
        </is>
      </c>
      <c r="F26" s="19" t="inlineStr">
        <is>
          <t>مدين</t>
        </is>
      </c>
      <c r="G26" s="19" t="inlineStr">
        <is>
          <t>نعم</t>
        </is>
      </c>
      <c r="H26" s="19" t="inlineStr">
        <is>
          <t>YER</t>
        </is>
      </c>
      <c r="I26" s="19" t="inlineStr">
        <is>
          <t>نشط</t>
        </is>
      </c>
      <c r="J26" s="19" t="n"/>
      <c r="K26">
        <f>LEN(A26)</f>
        <v/>
      </c>
    </row>
    <row r="27" hidden="1">
      <c r="A27" s="27" t="n">
        <v>2</v>
      </c>
      <c r="B27" s="20" t="inlineStr">
        <is>
          <t>الخصوم والالتزامات</t>
        </is>
      </c>
      <c r="C27" s="20" t="n">
        <v>0</v>
      </c>
      <c r="D27" s="20" t="n">
        <v>1</v>
      </c>
      <c r="E27" s="20" t="inlineStr">
        <is>
          <t>خصوم</t>
        </is>
      </c>
      <c r="F27" s="20" t="inlineStr">
        <is>
          <t>دائن</t>
        </is>
      </c>
      <c r="G27" s="20" t="inlineStr">
        <is>
          <t>لا</t>
        </is>
      </c>
      <c r="H27" s="20" t="inlineStr">
        <is>
          <t>YER</t>
        </is>
      </c>
      <c r="I27" s="20" t="inlineStr">
        <is>
          <t>نشط</t>
        </is>
      </c>
      <c r="J27" s="20" t="n"/>
      <c r="K27">
        <f>LEN(A27)</f>
        <v/>
      </c>
    </row>
    <row r="28" hidden="1">
      <c r="A28" s="27" t="n">
        <v>21</v>
      </c>
      <c r="B28" s="20" t="inlineStr">
        <is>
          <t>الخصوم المتداولة</t>
        </is>
      </c>
      <c r="C28" s="20" t="n">
        <v>2</v>
      </c>
      <c r="D28" s="20" t="n">
        <v>2</v>
      </c>
      <c r="E28" s="20" t="inlineStr">
        <is>
          <t>خصوم</t>
        </is>
      </c>
      <c r="F28" s="20" t="inlineStr">
        <is>
          <t>دائن</t>
        </is>
      </c>
      <c r="G28" s="20" t="inlineStr">
        <is>
          <t>لا</t>
        </is>
      </c>
      <c r="H28" s="20" t="inlineStr">
        <is>
          <t>YER</t>
        </is>
      </c>
      <c r="I28" s="20" t="inlineStr">
        <is>
          <t>نشط</t>
        </is>
      </c>
      <c r="J28" s="20" t="n"/>
      <c r="K28">
        <f>LEN(A28)</f>
        <v/>
      </c>
    </row>
    <row r="29" hidden="1">
      <c r="A29" s="27" t="n">
        <v>211</v>
      </c>
      <c r="B29" s="20" t="inlineStr">
        <is>
          <t>دائنون وحسابات المزارعين</t>
        </is>
      </c>
      <c r="C29" s="20" t="n">
        <v>21</v>
      </c>
      <c r="D29" s="20" t="n">
        <v>3</v>
      </c>
      <c r="E29" s="20" t="inlineStr">
        <is>
          <t>خصوم</t>
        </is>
      </c>
      <c r="F29" s="20" t="inlineStr">
        <is>
          <t>دائن</t>
        </is>
      </c>
      <c r="G29" s="20" t="inlineStr">
        <is>
          <t>لا</t>
        </is>
      </c>
      <c r="H29" s="20" t="inlineStr">
        <is>
          <t>YER</t>
        </is>
      </c>
      <c r="I29" s="20" t="inlineStr">
        <is>
          <t>نشط</t>
        </is>
      </c>
      <c r="J29" s="20" t="n"/>
      <c r="K29">
        <f>LEN(A29)</f>
        <v/>
      </c>
    </row>
    <row r="30" hidden="1">
      <c r="A30" s="27" t="n">
        <v>2111</v>
      </c>
      <c r="B30" s="20" t="inlineStr">
        <is>
          <t>امانات المزارعين (تجميعي)</t>
        </is>
      </c>
      <c r="C30" s="20" t="n">
        <v>211</v>
      </c>
      <c r="D30" s="20" t="n">
        <v>4</v>
      </c>
      <c r="E30" s="20" t="inlineStr">
        <is>
          <t>خصوم</t>
        </is>
      </c>
      <c r="F30" s="20" t="inlineStr">
        <is>
          <t>دائن</t>
        </is>
      </c>
      <c r="G30" s="20" t="inlineStr">
        <is>
          <t>نعم</t>
        </is>
      </c>
      <c r="H30" s="20" t="inlineStr">
        <is>
          <t>YER</t>
        </is>
      </c>
      <c r="I30" s="20" t="inlineStr">
        <is>
          <t>نشط</t>
        </is>
      </c>
      <c r="J30" s="20" t="n"/>
      <c r="K30">
        <f>LEN(A30)</f>
        <v/>
      </c>
    </row>
    <row r="31" ht="15" customHeight="1">
      <c r="A31" s="55" t="n">
        <v>21111</v>
      </c>
      <c r="B31" s="20" t="inlineStr">
        <is>
          <t xml:space="preserve"> امانات المزارعين (تحليلي)</t>
        </is>
      </c>
      <c r="C31" s="20" t="n">
        <v>2111</v>
      </c>
      <c r="D31" s="20" t="n">
        <v>5</v>
      </c>
      <c r="E31" s="20" t="inlineStr">
        <is>
          <t>خصوم</t>
        </is>
      </c>
      <c r="F31" s="20" t="inlineStr">
        <is>
          <t>دائن</t>
        </is>
      </c>
      <c r="G31" s="20" t="inlineStr">
        <is>
          <t>نعم</t>
        </is>
      </c>
      <c r="H31" s="20" t="inlineStr">
        <is>
          <t>YER</t>
        </is>
      </c>
      <c r="I31" s="20" t="inlineStr">
        <is>
          <t>نشط</t>
        </is>
      </c>
      <c r="J31" s="19" t="inlineStr">
        <is>
          <t>TableFarmers</t>
        </is>
      </c>
      <c r="K31">
        <f>LEN(A31)</f>
        <v/>
      </c>
    </row>
    <row r="32" hidden="1">
      <c r="A32" s="20" t="n">
        <v>2112</v>
      </c>
      <c r="B32" s="20" t="inlineStr">
        <is>
          <t xml:space="preserve"> امانات الزكاه وضرائب أخرى</t>
        </is>
      </c>
      <c r="C32" s="20" t="n">
        <v>211</v>
      </c>
      <c r="D32" s="20" t="n">
        <v>4</v>
      </c>
      <c r="E32" s="20" t="inlineStr">
        <is>
          <t>خصوم</t>
        </is>
      </c>
      <c r="F32" s="20" t="inlineStr">
        <is>
          <t>دائن</t>
        </is>
      </c>
      <c r="G32" s="20" t="inlineStr">
        <is>
          <t>نعم</t>
        </is>
      </c>
      <c r="H32" s="20" t="inlineStr">
        <is>
          <t>YER</t>
        </is>
      </c>
      <c r="I32" s="20" t="inlineStr">
        <is>
          <t>نشط</t>
        </is>
      </c>
      <c r="J32" s="19" t="n"/>
      <c r="K32">
        <f>LEN(A32)</f>
        <v/>
      </c>
    </row>
    <row r="33" ht="15" customHeight="1">
      <c r="A33" s="55" t="n">
        <v>21121</v>
      </c>
      <c r="B33" s="20" t="inlineStr">
        <is>
          <t xml:space="preserve"> امانات الزكاه (محصلين الزكاه)</t>
        </is>
      </c>
      <c r="C33" s="20" t="n">
        <v>2112</v>
      </c>
      <c r="D33" s="20" t="n">
        <v>5</v>
      </c>
      <c r="E33" s="20" t="inlineStr">
        <is>
          <t>خصوم</t>
        </is>
      </c>
      <c r="F33" s="20" t="inlineStr">
        <is>
          <t>دائن</t>
        </is>
      </c>
      <c r="G33" s="20" t="inlineStr">
        <is>
          <t>نعم</t>
        </is>
      </c>
      <c r="H33" s="20" t="inlineStr">
        <is>
          <t>YER</t>
        </is>
      </c>
      <c r="I33" s="20" t="inlineStr">
        <is>
          <t>نشط</t>
        </is>
      </c>
      <c r="J33" s="19" t="inlineStr">
        <is>
          <t>TableEmployees</t>
        </is>
      </c>
      <c r="K33">
        <f>LEN(A33)</f>
        <v/>
      </c>
    </row>
    <row r="34" ht="15" customHeight="1">
      <c r="A34" s="55" t="n">
        <v>21122</v>
      </c>
      <c r="B34" s="20" t="inlineStr">
        <is>
          <t xml:space="preserve"> امانات ضرائب أخرى</t>
        </is>
      </c>
      <c r="C34" s="20" t="n">
        <v>2112</v>
      </c>
      <c r="D34" s="20" t="n">
        <v>5</v>
      </c>
      <c r="E34" s="20" t="inlineStr">
        <is>
          <t>خصوم</t>
        </is>
      </c>
      <c r="F34" s="20" t="inlineStr">
        <is>
          <t>دائن</t>
        </is>
      </c>
      <c r="G34" s="20" t="inlineStr">
        <is>
          <t>نعم</t>
        </is>
      </c>
      <c r="H34" s="20" t="inlineStr">
        <is>
          <t>YER</t>
        </is>
      </c>
      <c r="I34" s="20" t="inlineStr">
        <is>
          <t>نشط</t>
        </is>
      </c>
      <c r="J34" s="19" t="n"/>
      <c r="K34">
        <f>LEN(A34)</f>
        <v/>
      </c>
    </row>
    <row r="35" hidden="1">
      <c r="A35" s="27" t="n">
        <v>213</v>
      </c>
      <c r="B35" s="20" t="inlineStr">
        <is>
          <t>الأرصدة الدائنة الأخرى</t>
        </is>
      </c>
      <c r="C35" s="20" t="n">
        <v>21</v>
      </c>
      <c r="D35" s="20" t="n">
        <v>3</v>
      </c>
      <c r="E35" s="20" t="inlineStr">
        <is>
          <t>خصوم</t>
        </is>
      </c>
      <c r="F35" s="20" t="inlineStr">
        <is>
          <t>دائن</t>
        </is>
      </c>
      <c r="G35" s="20" t="inlineStr">
        <is>
          <t>لا</t>
        </is>
      </c>
      <c r="H35" s="20" t="inlineStr">
        <is>
          <t>YER</t>
        </is>
      </c>
      <c r="I35" s="20" t="inlineStr">
        <is>
          <t>نشط</t>
        </is>
      </c>
      <c r="J35" s="20" t="n"/>
      <c r="K35">
        <f>LEN(A35)</f>
        <v/>
      </c>
    </row>
    <row r="36" hidden="1">
      <c r="A36" s="20" t="n">
        <v>2131</v>
      </c>
      <c r="B36" s="20" t="inlineStr">
        <is>
          <t>امانات المشترين مبالغ مقدمه وامانات أخرى</t>
        </is>
      </c>
      <c r="C36" s="20" t="n">
        <v>213</v>
      </c>
      <c r="D36" s="20" t="n">
        <v>4</v>
      </c>
      <c r="E36" s="20" t="inlineStr">
        <is>
          <t>خصوم</t>
        </is>
      </c>
      <c r="F36" s="20" t="inlineStr">
        <is>
          <t>دائن</t>
        </is>
      </c>
      <c r="G36" s="20" t="inlineStr">
        <is>
          <t>نعم</t>
        </is>
      </c>
      <c r="H36" s="20" t="inlineStr">
        <is>
          <t>YER</t>
        </is>
      </c>
      <c r="I36" s="20" t="inlineStr">
        <is>
          <t>نشط</t>
        </is>
      </c>
      <c r="J36" s="23" t="n"/>
      <c r="K36">
        <f>LEN(A36)</f>
        <v/>
      </c>
    </row>
    <row r="37" ht="15" customHeight="1">
      <c r="A37" s="55" t="n">
        <v>21311</v>
      </c>
      <c r="B37" s="20" t="inlineStr">
        <is>
          <t>امانات المشترين مبالغ مقدمه (تحليلي)</t>
        </is>
      </c>
      <c r="C37" s="20" t="n">
        <v>2131</v>
      </c>
      <c r="D37" s="20" t="n">
        <v>5</v>
      </c>
      <c r="E37" s="20" t="inlineStr">
        <is>
          <t>خصوم</t>
        </is>
      </c>
      <c r="F37" s="20" t="inlineStr">
        <is>
          <t>دائن</t>
        </is>
      </c>
      <c r="G37" s="20" t="inlineStr">
        <is>
          <t>نعم</t>
        </is>
      </c>
      <c r="H37" s="20" t="inlineStr">
        <is>
          <t>YER</t>
        </is>
      </c>
      <c r="I37" s="20" t="inlineStr">
        <is>
          <t>نشط</t>
        </is>
      </c>
      <c r="J37" s="23" t="inlineStr">
        <is>
          <t>TableEmployees</t>
        </is>
      </c>
      <c r="K37">
        <f>LEN(A37)</f>
        <v/>
      </c>
    </row>
    <row r="38" hidden="1">
      <c r="A38" s="20" t="n">
        <v>2132</v>
      </c>
      <c r="B38" s="20" t="inlineStr">
        <is>
          <t>مصروفات مستحقة الدفع</t>
        </is>
      </c>
      <c r="C38" s="20" t="n">
        <v>213</v>
      </c>
      <c r="D38" s="20" t="n">
        <v>4</v>
      </c>
      <c r="E38" s="20" t="inlineStr">
        <is>
          <t>خصوم</t>
        </is>
      </c>
      <c r="F38" s="20" t="inlineStr">
        <is>
          <t>دائن</t>
        </is>
      </c>
      <c r="G38" s="20" t="inlineStr">
        <is>
          <t>نعم</t>
        </is>
      </c>
      <c r="H38" s="20" t="inlineStr">
        <is>
          <t>YER</t>
        </is>
      </c>
      <c r="I38" s="20" t="inlineStr">
        <is>
          <t>نشط</t>
        </is>
      </c>
      <c r="J38" s="23" t="n"/>
      <c r="K38">
        <f>LEN(A38)</f>
        <v/>
      </c>
    </row>
    <row r="39" hidden="1">
      <c r="A39" s="20" t="n">
        <v>2133</v>
      </c>
      <c r="B39" s="20" t="inlineStr">
        <is>
          <t>رواتب وأجور مستحقة</t>
        </is>
      </c>
      <c r="C39" s="20" t="n">
        <v>213</v>
      </c>
      <c r="D39" s="20" t="n">
        <v>4</v>
      </c>
      <c r="E39" s="20" t="inlineStr">
        <is>
          <t>خصوم</t>
        </is>
      </c>
      <c r="F39" s="20" t="inlineStr">
        <is>
          <t>دائن</t>
        </is>
      </c>
      <c r="G39" s="20" t="inlineStr">
        <is>
          <t>نعم</t>
        </is>
      </c>
      <c r="H39" s="20" t="inlineStr">
        <is>
          <t>YER</t>
        </is>
      </c>
      <c r="I39" s="20" t="inlineStr">
        <is>
          <t>نشط</t>
        </is>
      </c>
      <c r="J39" s="23" t="n"/>
      <c r="K39">
        <f>LEN(A39)</f>
        <v/>
      </c>
    </row>
    <row r="40" hidden="1">
      <c r="A40" s="28" t="n">
        <v>3</v>
      </c>
      <c r="B40" s="21" t="inlineStr">
        <is>
          <t>حقوق الملكية</t>
        </is>
      </c>
      <c r="C40" s="21" t="n">
        <v>0</v>
      </c>
      <c r="D40" s="21" t="n">
        <v>1</v>
      </c>
      <c r="E40" s="21" t="inlineStr">
        <is>
          <t>حقوق ملكية</t>
        </is>
      </c>
      <c r="F40" s="21" t="inlineStr">
        <is>
          <t>دائن</t>
        </is>
      </c>
      <c r="G40" s="21" t="inlineStr">
        <is>
          <t>لا</t>
        </is>
      </c>
      <c r="H40" s="21" t="inlineStr">
        <is>
          <t>YER</t>
        </is>
      </c>
      <c r="I40" s="21" t="inlineStr">
        <is>
          <t>نشط</t>
        </is>
      </c>
      <c r="J40" s="21" t="n"/>
      <c r="K40">
        <f>LEN(A40)</f>
        <v/>
      </c>
    </row>
    <row r="41" hidden="1">
      <c r="A41" s="28" t="n">
        <v>31</v>
      </c>
      <c r="B41" s="21" t="inlineStr">
        <is>
          <t>رأس المال والاحتياطيات</t>
        </is>
      </c>
      <c r="C41" s="21" t="n">
        <v>3</v>
      </c>
      <c r="D41" s="21" t="n">
        <v>2</v>
      </c>
      <c r="E41" s="21" t="inlineStr">
        <is>
          <t>حقوق ملكية</t>
        </is>
      </c>
      <c r="F41" s="21" t="inlineStr">
        <is>
          <t>دائن</t>
        </is>
      </c>
      <c r="G41" s="21" t="inlineStr">
        <is>
          <t>لا</t>
        </is>
      </c>
      <c r="H41" s="21" t="inlineStr">
        <is>
          <t>YER</t>
        </is>
      </c>
      <c r="I41" s="21" t="inlineStr">
        <is>
          <t>نشط</t>
        </is>
      </c>
      <c r="J41" s="21" t="n"/>
      <c r="K41">
        <f>LEN(A41)</f>
        <v/>
      </c>
    </row>
    <row r="42" hidden="1">
      <c r="A42" s="21" t="n">
        <v>3110</v>
      </c>
      <c r="B42" s="21" t="inlineStr">
        <is>
          <t>رأس المال المدفوع</t>
        </is>
      </c>
      <c r="C42" s="21" t="n">
        <v>31</v>
      </c>
      <c r="D42" s="21" t="n">
        <v>4</v>
      </c>
      <c r="E42" s="21" t="inlineStr">
        <is>
          <t>حقوق ملكية</t>
        </is>
      </c>
      <c r="F42" s="21" t="inlineStr">
        <is>
          <t>دائن</t>
        </is>
      </c>
      <c r="G42" s="21" t="inlineStr">
        <is>
          <t>نعم</t>
        </is>
      </c>
      <c r="H42" s="21" t="inlineStr">
        <is>
          <t>YER</t>
        </is>
      </c>
      <c r="I42" s="21" t="inlineStr">
        <is>
          <t>نشط</t>
        </is>
      </c>
      <c r="J42" s="21" t="n"/>
      <c r="K42">
        <f>LEN(A42)</f>
        <v/>
      </c>
    </row>
    <row r="43" ht="15" customHeight="1">
      <c r="A43" s="56" t="n">
        <v>31101</v>
      </c>
      <c r="B43" s="21" t="inlineStr">
        <is>
          <t>رأس المال الشركاء المدفوع</t>
        </is>
      </c>
      <c r="C43" s="21" t="n">
        <v>3110</v>
      </c>
      <c r="D43" s="21" t="n">
        <v>5</v>
      </c>
      <c r="E43" s="21" t="inlineStr">
        <is>
          <t>حقوق ملكية</t>
        </is>
      </c>
      <c r="F43" s="21" t="inlineStr">
        <is>
          <t>دائن</t>
        </is>
      </c>
      <c r="G43" s="21" t="inlineStr">
        <is>
          <t>نعم</t>
        </is>
      </c>
      <c r="H43" s="21" t="inlineStr">
        <is>
          <t>YER</t>
        </is>
      </c>
      <c r="I43" s="21" t="inlineStr">
        <is>
          <t>نشط</t>
        </is>
      </c>
      <c r="J43" s="21" t="inlineStr">
        <is>
          <t>TableEmployees</t>
        </is>
      </c>
      <c r="K43">
        <f>LEN(A43)</f>
        <v/>
      </c>
    </row>
    <row r="44" ht="15" customHeight="1">
      <c r="A44" s="56" t="n">
        <v>31102</v>
      </c>
      <c r="B44" s="21" t="inlineStr">
        <is>
          <t>أرباح مضافه لراس المال (مدورة)</t>
        </is>
      </c>
      <c r="C44" s="21" t="n">
        <v>3110</v>
      </c>
      <c r="D44" s="21" t="n">
        <v>5</v>
      </c>
      <c r="E44" s="21" t="inlineStr">
        <is>
          <t>حقوق ملكية</t>
        </is>
      </c>
      <c r="F44" s="21" t="inlineStr">
        <is>
          <t>دائن</t>
        </is>
      </c>
      <c r="G44" s="21" t="inlineStr">
        <is>
          <t>نعم</t>
        </is>
      </c>
      <c r="H44" s="21" t="inlineStr">
        <is>
          <t>YER</t>
        </is>
      </c>
      <c r="I44" s="21" t="inlineStr">
        <is>
          <t>نشط</t>
        </is>
      </c>
      <c r="J44" s="21" t="inlineStr">
        <is>
          <t>TableEmployees</t>
        </is>
      </c>
      <c r="K44">
        <f>LEN(A44)</f>
        <v/>
      </c>
    </row>
    <row r="45" hidden="1">
      <c r="A45" s="21" t="n">
        <v>3120</v>
      </c>
      <c r="B45" s="21" t="inlineStr">
        <is>
          <t>حساب جاري الشركاء(تجميعي)</t>
        </is>
      </c>
      <c r="C45" s="21" t="n">
        <v>31</v>
      </c>
      <c r="D45" s="21" t="n">
        <v>4</v>
      </c>
      <c r="E45" s="21" t="inlineStr">
        <is>
          <t>حقوق ملكية</t>
        </is>
      </c>
      <c r="F45" s="21" t="inlineStr">
        <is>
          <t>مدين</t>
        </is>
      </c>
      <c r="G45" s="21" t="inlineStr">
        <is>
          <t>نعم</t>
        </is>
      </c>
      <c r="H45" s="21" t="inlineStr">
        <is>
          <t>YER</t>
        </is>
      </c>
      <c r="I45" s="21" t="inlineStr">
        <is>
          <t>نشط</t>
        </is>
      </c>
      <c r="J45" s="23" t="n"/>
      <c r="K45">
        <f>LEN(A45)</f>
        <v/>
      </c>
    </row>
    <row r="46" ht="15" customHeight="1">
      <c r="A46" s="56" t="n">
        <v>31201</v>
      </c>
      <c r="B46" s="21" t="inlineStr">
        <is>
          <t>سحبيات الشركاء -حساب جاري (تحليلي)</t>
        </is>
      </c>
      <c r="C46" s="21" t="n">
        <v>3120</v>
      </c>
      <c r="D46" s="21" t="n">
        <v>5</v>
      </c>
      <c r="E46" s="21" t="inlineStr">
        <is>
          <t>حقوق ملكية</t>
        </is>
      </c>
      <c r="F46" s="21" t="inlineStr">
        <is>
          <t>مدين</t>
        </is>
      </c>
      <c r="G46" s="21" t="inlineStr">
        <is>
          <t>نعم</t>
        </is>
      </c>
      <c r="H46" s="21" t="inlineStr">
        <is>
          <t>YER</t>
        </is>
      </c>
      <c r="I46" s="21" t="inlineStr">
        <is>
          <t>نشط</t>
        </is>
      </c>
      <c r="J46" s="23" t="inlineStr">
        <is>
          <t>TableEmployees</t>
        </is>
      </c>
      <c r="K46">
        <f>LEN(A46)</f>
        <v/>
      </c>
    </row>
    <row r="47" hidden="1">
      <c r="A47" s="21" t="n">
        <v>3130</v>
      </c>
      <c r="B47" s="21" t="inlineStr">
        <is>
          <t>ملخص الدخل (الأرباح والخسائر)</t>
        </is>
      </c>
      <c r="C47" s="21" t="n">
        <v>31</v>
      </c>
      <c r="D47" s="21" t="n">
        <v>4</v>
      </c>
      <c r="E47" s="21" t="inlineStr">
        <is>
          <t>حقوق ملكية</t>
        </is>
      </c>
      <c r="F47" s="21" t="inlineStr">
        <is>
          <t>دائن</t>
        </is>
      </c>
      <c r="G47" s="21" t="inlineStr">
        <is>
          <t>نعم</t>
        </is>
      </c>
      <c r="H47" s="21" t="inlineStr">
        <is>
          <t>YER</t>
        </is>
      </c>
      <c r="I47" s="21" t="inlineStr">
        <is>
          <t>نشط</t>
        </is>
      </c>
      <c r="J47" s="21" t="n"/>
      <c r="K47">
        <f>LEN(A47)</f>
        <v/>
      </c>
    </row>
    <row r="48" hidden="1">
      <c r="A48" s="29" t="n">
        <v>4</v>
      </c>
      <c r="B48" s="32" t="inlineStr">
        <is>
          <t>الإيرادات</t>
        </is>
      </c>
      <c r="C48" s="22" t="n">
        <v>0</v>
      </c>
      <c r="D48" s="22" t="n">
        <v>1</v>
      </c>
      <c r="E48" s="22" t="inlineStr">
        <is>
          <t>إيرادات</t>
        </is>
      </c>
      <c r="F48" s="22" t="inlineStr">
        <is>
          <t>دائن</t>
        </is>
      </c>
      <c r="G48" s="22" t="inlineStr">
        <is>
          <t>لا</t>
        </is>
      </c>
      <c r="H48" s="22" t="inlineStr">
        <is>
          <t>YER</t>
        </is>
      </c>
      <c r="I48" s="22" t="inlineStr">
        <is>
          <t>نشط</t>
        </is>
      </c>
      <c r="J48" s="22" t="n"/>
      <c r="K48">
        <f>LEN(A48)</f>
        <v/>
      </c>
    </row>
    <row r="49" hidden="1">
      <c r="A49" s="29" t="n">
        <v>41</v>
      </c>
      <c r="B49" s="32" t="inlineStr">
        <is>
          <t>إيرادات النشاط الرئيسي (الوساطة)</t>
        </is>
      </c>
      <c r="C49" s="22" t="n">
        <v>4</v>
      </c>
      <c r="D49" s="22" t="n">
        <v>2</v>
      </c>
      <c r="E49" s="22" t="inlineStr">
        <is>
          <t>إيرادات</t>
        </is>
      </c>
      <c r="F49" s="22" t="inlineStr">
        <is>
          <t>دائن</t>
        </is>
      </c>
      <c r="G49" s="22" t="inlineStr">
        <is>
          <t>لا</t>
        </is>
      </c>
      <c r="H49" s="22" t="inlineStr">
        <is>
          <t>YER</t>
        </is>
      </c>
      <c r="I49" s="22" t="inlineStr">
        <is>
          <t>نشط</t>
        </is>
      </c>
      <c r="J49" s="22" t="n"/>
      <c r="K49">
        <f>LEN(A49)</f>
        <v/>
      </c>
    </row>
    <row r="50" hidden="1">
      <c r="A50" s="29" t="n">
        <v>411</v>
      </c>
      <c r="B50" s="32" t="inlineStr">
        <is>
          <t>إيرادات العمولة</t>
        </is>
      </c>
      <c r="C50" s="22" t="n">
        <v>41</v>
      </c>
      <c r="D50" s="22" t="n">
        <v>3</v>
      </c>
      <c r="E50" s="22" t="inlineStr">
        <is>
          <t>إيرادات</t>
        </is>
      </c>
      <c r="F50" s="22" t="inlineStr">
        <is>
          <t>دائن</t>
        </is>
      </c>
      <c r="G50" s="22" t="inlineStr">
        <is>
          <t>لا</t>
        </is>
      </c>
      <c r="H50" s="22" t="inlineStr">
        <is>
          <t>YER</t>
        </is>
      </c>
      <c r="I50" s="22" t="inlineStr">
        <is>
          <t>نشط</t>
        </is>
      </c>
      <c r="J50" s="23" t="n"/>
      <c r="K50">
        <f>LEN(A50)</f>
        <v/>
      </c>
    </row>
    <row r="51" hidden="1">
      <c r="A51" s="22" t="n">
        <v>4111</v>
      </c>
      <c r="B51" s="32" t="inlineStr">
        <is>
          <t>إيراد عمولة وساطة مبيعات (5%)</t>
        </is>
      </c>
      <c r="C51" s="22" t="n">
        <v>411</v>
      </c>
      <c r="D51" s="22" t="n">
        <v>4</v>
      </c>
      <c r="E51" s="22" t="inlineStr">
        <is>
          <t>إيرادات</t>
        </is>
      </c>
      <c r="F51" s="22" t="inlineStr">
        <is>
          <t>دائن</t>
        </is>
      </c>
      <c r="G51" s="22" t="inlineStr">
        <is>
          <t>نعم</t>
        </is>
      </c>
      <c r="H51" s="22" t="inlineStr">
        <is>
          <t>YER</t>
        </is>
      </c>
      <c r="I51" s="22" t="inlineStr">
        <is>
          <t>نشط</t>
        </is>
      </c>
      <c r="J51" s="23" t="n"/>
      <c r="K51">
        <f>LEN(A51)</f>
        <v/>
      </c>
    </row>
    <row r="52" hidden="1">
      <c r="A52" s="29" t="n">
        <v>412</v>
      </c>
      <c r="B52" s="32" t="inlineStr">
        <is>
          <t>إيرادات الخدمة والدلالة</t>
        </is>
      </c>
      <c r="C52" s="22" t="n">
        <v>41</v>
      </c>
      <c r="D52" s="22" t="n">
        <v>3</v>
      </c>
      <c r="E52" s="22" t="inlineStr">
        <is>
          <t>إيرادات</t>
        </is>
      </c>
      <c r="F52" s="22" t="inlineStr">
        <is>
          <t>دائن</t>
        </is>
      </c>
      <c r="G52" s="22" t="inlineStr">
        <is>
          <t>لا</t>
        </is>
      </c>
      <c r="H52" s="22" t="inlineStr">
        <is>
          <t>YER</t>
        </is>
      </c>
      <c r="I52" s="22" t="inlineStr">
        <is>
          <t>نشط</t>
        </is>
      </c>
      <c r="J52" s="23" t="n"/>
      <c r="K52">
        <f>LEN(A52)</f>
        <v/>
      </c>
    </row>
    <row r="53" hidden="1">
      <c r="A53" s="22" t="n">
        <v>4121</v>
      </c>
      <c r="B53" s="32" t="inlineStr">
        <is>
          <t>إيراد رسوم دلالة (100 ريال/للوحده)</t>
        </is>
      </c>
      <c r="C53" s="22" t="n">
        <v>412</v>
      </c>
      <c r="D53" s="22" t="n">
        <v>4</v>
      </c>
      <c r="E53" s="22" t="inlineStr">
        <is>
          <t>إيرادات</t>
        </is>
      </c>
      <c r="F53" s="22" t="inlineStr">
        <is>
          <t>دائن</t>
        </is>
      </c>
      <c r="G53" s="22" t="inlineStr">
        <is>
          <t>نعم</t>
        </is>
      </c>
      <c r="H53" s="22" t="inlineStr">
        <is>
          <t>YER</t>
        </is>
      </c>
      <c r="I53" s="22" t="inlineStr">
        <is>
          <t>نشط</t>
        </is>
      </c>
      <c r="J53" s="23" t="n"/>
      <c r="K53">
        <f>LEN(A53)</f>
        <v/>
      </c>
    </row>
    <row r="54" hidden="1">
      <c r="A54" s="22" t="n">
        <v>4122</v>
      </c>
      <c r="B54" s="32" t="inlineStr">
        <is>
          <t>إيرادات خدمات التحميل والنظافة</t>
        </is>
      </c>
      <c r="C54" s="22" t="n">
        <v>412</v>
      </c>
      <c r="D54" s="22" t="n">
        <v>4</v>
      </c>
      <c r="E54" s="22" t="inlineStr">
        <is>
          <t>إيرادات</t>
        </is>
      </c>
      <c r="F54" s="22" t="inlineStr">
        <is>
          <t>دائن</t>
        </is>
      </c>
      <c r="G54" s="22" t="inlineStr">
        <is>
          <t>نعم</t>
        </is>
      </c>
      <c r="H54" s="22" t="inlineStr">
        <is>
          <t>YER</t>
        </is>
      </c>
      <c r="I54" s="22" t="inlineStr">
        <is>
          <t>نشط</t>
        </is>
      </c>
      <c r="J54" s="22" t="n"/>
      <c r="K54">
        <f>LEN(A54)</f>
        <v/>
      </c>
    </row>
    <row r="55" hidden="1">
      <c r="A55" s="22" t="n">
        <v>4123</v>
      </c>
      <c r="B55" s="32" t="inlineStr">
        <is>
          <t>إيرادات الوزن والنقل الداخلي</t>
        </is>
      </c>
      <c r="C55" s="22" t="n">
        <v>412</v>
      </c>
      <c r="D55" s="22" t="n">
        <v>4</v>
      </c>
      <c r="E55" s="22" t="inlineStr">
        <is>
          <t>إيرادات</t>
        </is>
      </c>
      <c r="F55" s="22" t="inlineStr">
        <is>
          <t>دائن</t>
        </is>
      </c>
      <c r="G55" s="22" t="inlineStr">
        <is>
          <t>نعم</t>
        </is>
      </c>
      <c r="H55" s="22" t="inlineStr">
        <is>
          <t>YER</t>
        </is>
      </c>
      <c r="I55" s="22" t="inlineStr">
        <is>
          <t>نشط</t>
        </is>
      </c>
      <c r="J55" s="22" t="n"/>
      <c r="K55">
        <f>LEN(A55)</f>
        <v/>
      </c>
    </row>
    <row r="56" hidden="1">
      <c r="A56" s="29" t="n">
        <v>42</v>
      </c>
      <c r="B56" s="32" t="inlineStr">
        <is>
          <t>الإيرادات الأخرى</t>
        </is>
      </c>
      <c r="C56" s="22" t="n">
        <v>4</v>
      </c>
      <c r="D56" s="22" t="n">
        <v>2</v>
      </c>
      <c r="E56" s="22" t="inlineStr">
        <is>
          <t>إيرادات</t>
        </is>
      </c>
      <c r="F56" s="22" t="inlineStr">
        <is>
          <t>دائن</t>
        </is>
      </c>
      <c r="G56" s="22" t="inlineStr">
        <is>
          <t>لا</t>
        </is>
      </c>
      <c r="H56" s="22" t="inlineStr">
        <is>
          <t>YER</t>
        </is>
      </c>
      <c r="I56" s="22" t="inlineStr">
        <is>
          <t>نشط</t>
        </is>
      </c>
      <c r="J56" s="22" t="n"/>
      <c r="K56">
        <f>LEN(A56)</f>
        <v/>
      </c>
    </row>
    <row r="57" hidden="1">
      <c r="A57" s="22" t="n">
        <v>421</v>
      </c>
      <c r="B57" s="32" t="inlineStr">
        <is>
          <t>إيرادات عرضية ومتنوعة</t>
        </is>
      </c>
      <c r="C57" s="22" t="n">
        <v>42</v>
      </c>
      <c r="D57" s="22" t="n">
        <v>3</v>
      </c>
      <c r="E57" s="22" t="inlineStr">
        <is>
          <t>إيرادات</t>
        </is>
      </c>
      <c r="F57" s="22" t="inlineStr">
        <is>
          <t>دائن</t>
        </is>
      </c>
      <c r="G57" s="22" t="inlineStr">
        <is>
          <t>نعم</t>
        </is>
      </c>
      <c r="H57" s="22" t="inlineStr">
        <is>
          <t>YER</t>
        </is>
      </c>
      <c r="I57" s="22" t="inlineStr">
        <is>
          <t>نشط</t>
        </is>
      </c>
      <c r="J57" s="22" t="n"/>
      <c r="K57">
        <f>LEN(A57)</f>
        <v/>
      </c>
    </row>
    <row r="58" hidden="1">
      <c r="A58" s="22" t="n">
        <v>422</v>
      </c>
      <c r="B58" s="32" t="inlineStr">
        <is>
          <t>إيرادات غرامات ومخالفات وغيابات</t>
        </is>
      </c>
      <c r="C58" s="22" t="n">
        <v>42</v>
      </c>
      <c r="D58" s="22" t="n">
        <v>3</v>
      </c>
      <c r="E58" s="22" t="inlineStr">
        <is>
          <t>إيرادات</t>
        </is>
      </c>
      <c r="F58" s="22" t="inlineStr">
        <is>
          <t>دائن</t>
        </is>
      </c>
      <c r="G58" s="22" t="inlineStr">
        <is>
          <t>نعم</t>
        </is>
      </c>
      <c r="H58" s="22" t="inlineStr">
        <is>
          <t>YER</t>
        </is>
      </c>
      <c r="I58" s="22" t="inlineStr">
        <is>
          <t>نشط</t>
        </is>
      </c>
      <c r="J58" s="22" t="n"/>
      <c r="K58">
        <f>LEN(A58)</f>
        <v/>
      </c>
    </row>
    <row r="59" ht="15" customHeight="1">
      <c r="A59" s="57" t="n">
        <v>42210</v>
      </c>
      <c r="B59" s="32" t="inlineStr">
        <is>
          <t>إيراد غيابات الموظفين</t>
        </is>
      </c>
      <c r="C59" s="22" t="n">
        <v>422</v>
      </c>
      <c r="D59" s="22" t="n">
        <v>5</v>
      </c>
      <c r="E59" s="22" t="inlineStr">
        <is>
          <t>إيرادات</t>
        </is>
      </c>
      <c r="F59" s="22" t="inlineStr">
        <is>
          <t>دائن</t>
        </is>
      </c>
      <c r="G59" s="22" t="inlineStr">
        <is>
          <t>نعم</t>
        </is>
      </c>
      <c r="H59" s="22" t="inlineStr">
        <is>
          <t>YER</t>
        </is>
      </c>
      <c r="I59" s="22" t="inlineStr">
        <is>
          <t>نشط</t>
        </is>
      </c>
      <c r="J59" s="22" t="inlineStr">
        <is>
          <t>TableEmployees</t>
        </is>
      </c>
      <c r="K59">
        <f>LEN(A59)</f>
        <v/>
      </c>
    </row>
    <row r="60" ht="15" customHeight="1">
      <c r="A60" s="57" t="n">
        <v>42220</v>
      </c>
      <c r="B60" s="32" t="inlineStr">
        <is>
          <t>إيراد مخالفات الموظفين</t>
        </is>
      </c>
      <c r="C60" s="22" t="n">
        <v>422</v>
      </c>
      <c r="D60" s="22" t="n">
        <v>5</v>
      </c>
      <c r="E60" s="22" t="inlineStr">
        <is>
          <t>إيرادات</t>
        </is>
      </c>
      <c r="F60" s="22" t="inlineStr">
        <is>
          <t>دائن</t>
        </is>
      </c>
      <c r="G60" s="22" t="inlineStr">
        <is>
          <t>نعم</t>
        </is>
      </c>
      <c r="H60" s="22" t="inlineStr">
        <is>
          <t>YER</t>
        </is>
      </c>
      <c r="I60" s="22" t="inlineStr">
        <is>
          <t>نشط</t>
        </is>
      </c>
      <c r="J60" s="22" t="inlineStr">
        <is>
          <t>TableEmployees</t>
        </is>
      </c>
      <c r="K60">
        <f>LEN(A60)</f>
        <v/>
      </c>
    </row>
    <row r="61" hidden="1">
      <c r="A61" s="30" t="n">
        <v>5</v>
      </c>
      <c r="B61" s="23" t="inlineStr">
        <is>
          <t>المصروفات</t>
        </is>
      </c>
      <c r="C61" s="23" t="n">
        <v>0</v>
      </c>
      <c r="D61" s="23" t="n">
        <v>1</v>
      </c>
      <c r="E61" s="23" t="inlineStr">
        <is>
          <t>مصروفات</t>
        </is>
      </c>
      <c r="F61" s="23" t="inlineStr">
        <is>
          <t>مدين</t>
        </is>
      </c>
      <c r="G61" s="23" t="inlineStr">
        <is>
          <t>لا</t>
        </is>
      </c>
      <c r="H61" s="23" t="inlineStr">
        <is>
          <t>YER</t>
        </is>
      </c>
      <c r="I61" s="23" t="inlineStr">
        <is>
          <t>نشط</t>
        </is>
      </c>
      <c r="J61" s="23" t="n"/>
      <c r="K61">
        <f>LEN(A61)</f>
        <v/>
      </c>
    </row>
    <row r="62" hidden="1">
      <c r="A62" s="30" t="n">
        <v>51</v>
      </c>
      <c r="B62" s="51" t="inlineStr">
        <is>
          <t>المصروفات التشغيلية</t>
        </is>
      </c>
      <c r="C62" s="51" t="n">
        <v>5</v>
      </c>
      <c r="D62" s="51" t="n">
        <v>2</v>
      </c>
      <c r="E62" s="51" t="inlineStr">
        <is>
          <t>مصروفات</t>
        </is>
      </c>
      <c r="F62" s="51" t="inlineStr">
        <is>
          <t>مدين</t>
        </is>
      </c>
      <c r="G62" s="51" t="inlineStr">
        <is>
          <t>لا</t>
        </is>
      </c>
      <c r="H62" s="51" t="inlineStr">
        <is>
          <t>YER</t>
        </is>
      </c>
      <c r="I62" s="51" t="inlineStr">
        <is>
          <t>نشط</t>
        </is>
      </c>
      <c r="J62" s="51" t="n"/>
      <c r="K62">
        <f>LEN(A62)</f>
        <v/>
      </c>
    </row>
    <row r="63" hidden="1">
      <c r="A63" s="30" t="n">
        <v>511</v>
      </c>
      <c r="B63" s="23" t="inlineStr">
        <is>
          <t>الرواتب والأجور</t>
        </is>
      </c>
      <c r="C63" s="23" t="n">
        <v>51</v>
      </c>
      <c r="D63" s="23" t="n">
        <v>3</v>
      </c>
      <c r="E63" s="23" t="inlineStr">
        <is>
          <t>مصروفات</t>
        </is>
      </c>
      <c r="F63" s="23" t="inlineStr">
        <is>
          <t>مدين</t>
        </is>
      </c>
      <c r="G63" s="23" t="inlineStr">
        <is>
          <t>لا</t>
        </is>
      </c>
      <c r="H63" s="23" t="inlineStr">
        <is>
          <t>YER</t>
        </is>
      </c>
      <c r="I63" s="23" t="inlineStr">
        <is>
          <t>نشط</t>
        </is>
      </c>
      <c r="J63" s="23" t="n"/>
      <c r="K63">
        <f>LEN(A63)</f>
        <v/>
      </c>
    </row>
    <row r="64" ht="15" customHeight="1">
      <c r="A64" s="58" t="n">
        <v>51110</v>
      </c>
      <c r="B64" s="23" t="inlineStr">
        <is>
          <t>رواتب وأجور الموظفين</t>
        </is>
      </c>
      <c r="C64" s="23" t="n">
        <v>511</v>
      </c>
      <c r="D64" s="23" t="n">
        <v>5</v>
      </c>
      <c r="E64" s="23" t="inlineStr">
        <is>
          <t>مصروفات</t>
        </is>
      </c>
      <c r="F64" s="23" t="inlineStr">
        <is>
          <t>مدين</t>
        </is>
      </c>
      <c r="G64" s="23" t="inlineStr">
        <is>
          <t>نعم</t>
        </is>
      </c>
      <c r="H64" s="23" t="inlineStr">
        <is>
          <t>YER</t>
        </is>
      </c>
      <c r="I64" s="23" t="inlineStr">
        <is>
          <t>نشط</t>
        </is>
      </c>
      <c r="J64" s="23" t="inlineStr">
        <is>
          <t>TableEmployees</t>
        </is>
      </c>
      <c r="K64">
        <f>LEN(A64)</f>
        <v/>
      </c>
    </row>
    <row r="65" ht="15" customHeight="1">
      <c r="A65" s="58" t="n">
        <v>51120</v>
      </c>
      <c r="B65" s="23" t="inlineStr">
        <is>
          <t>أجور عمالة يومية وحمالين</t>
        </is>
      </c>
      <c r="C65" s="23" t="n">
        <v>511</v>
      </c>
      <c r="D65" s="23" t="n">
        <v>5</v>
      </c>
      <c r="E65" s="23" t="inlineStr">
        <is>
          <t>مصروفات</t>
        </is>
      </c>
      <c r="F65" s="23" t="inlineStr">
        <is>
          <t>مدين</t>
        </is>
      </c>
      <c r="G65" s="23" t="inlineStr">
        <is>
          <t>نعم</t>
        </is>
      </c>
      <c r="H65" s="23" t="inlineStr">
        <is>
          <t>YER</t>
        </is>
      </c>
      <c r="I65" s="23" t="inlineStr">
        <is>
          <t>نشط</t>
        </is>
      </c>
      <c r="J65" s="23" t="inlineStr">
        <is>
          <t>TableEmployees</t>
        </is>
      </c>
      <c r="K65">
        <f>LEN(A65)</f>
        <v/>
      </c>
    </row>
    <row r="66" ht="15" customHeight="1">
      <c r="A66" s="58" t="n">
        <v>51130</v>
      </c>
      <c r="B66" s="23" t="inlineStr">
        <is>
          <t>أجور عمولات الدلالين</t>
        </is>
      </c>
      <c r="C66" s="23" t="n">
        <v>511</v>
      </c>
      <c r="D66" s="23" t="n">
        <v>5</v>
      </c>
      <c r="E66" s="23" t="inlineStr">
        <is>
          <t>مصروفات</t>
        </is>
      </c>
      <c r="F66" s="23" t="inlineStr">
        <is>
          <t>مدين</t>
        </is>
      </c>
      <c r="G66" s="23" t="inlineStr">
        <is>
          <t>نعم</t>
        </is>
      </c>
      <c r="H66" s="23" t="inlineStr">
        <is>
          <t>YER</t>
        </is>
      </c>
      <c r="I66" s="23" t="inlineStr">
        <is>
          <t>نشط</t>
        </is>
      </c>
      <c r="J66" s="23" t="inlineStr">
        <is>
          <t>TableEmployees</t>
        </is>
      </c>
      <c r="K66">
        <f>LEN(A66)</f>
        <v/>
      </c>
    </row>
    <row r="67" ht="15" customHeight="1">
      <c r="A67" s="58" t="n">
        <v>51140</v>
      </c>
      <c r="B67" s="23" t="inlineStr">
        <is>
          <t>أجور عمولات مسوقين واخرين</t>
        </is>
      </c>
      <c r="C67" s="23" t="n">
        <v>511</v>
      </c>
      <c r="D67" s="23" t="n">
        <v>5</v>
      </c>
      <c r="E67" s="23" t="inlineStr">
        <is>
          <t>مصروفات</t>
        </is>
      </c>
      <c r="F67" s="23" t="inlineStr">
        <is>
          <t>مدين</t>
        </is>
      </c>
      <c r="G67" s="23" t="inlineStr">
        <is>
          <t>نعم</t>
        </is>
      </c>
      <c r="H67" s="23" t="inlineStr">
        <is>
          <t>YER</t>
        </is>
      </c>
      <c r="I67" s="23" t="inlineStr">
        <is>
          <t>نشط</t>
        </is>
      </c>
      <c r="J67" s="23" t="inlineStr">
        <is>
          <t>TableEmployees</t>
        </is>
      </c>
      <c r="K67">
        <f>LEN(A67)</f>
        <v/>
      </c>
    </row>
    <row r="68" hidden="1">
      <c r="A68" s="51" t="n">
        <v>512</v>
      </c>
      <c r="B68" s="51" t="inlineStr">
        <is>
          <t>مصروفات تشغيليه شهريه</t>
        </is>
      </c>
      <c r="C68" s="51" t="n">
        <v>51</v>
      </c>
      <c r="D68" s="51" t="n">
        <v>3</v>
      </c>
      <c r="E68" s="51" t="inlineStr">
        <is>
          <t>مصروفات</t>
        </is>
      </c>
      <c r="F68" s="51" t="inlineStr">
        <is>
          <t>مدين</t>
        </is>
      </c>
      <c r="G68" s="51" t="inlineStr">
        <is>
          <t>لا</t>
        </is>
      </c>
      <c r="H68" s="51" t="inlineStr">
        <is>
          <t>YER</t>
        </is>
      </c>
      <c r="I68" s="51" t="inlineStr">
        <is>
          <t>نشط</t>
        </is>
      </c>
      <c r="J68" s="51" t="n"/>
      <c r="K68">
        <f>LEN(A68)</f>
        <v/>
      </c>
    </row>
    <row r="69" hidden="1">
      <c r="A69" s="23" t="n">
        <v>5121</v>
      </c>
      <c r="B69" s="23" t="inlineStr">
        <is>
          <t>إيجار السوق والمكتب</t>
        </is>
      </c>
      <c r="C69" s="23" t="n">
        <v>512</v>
      </c>
      <c r="D69" s="23" t="n">
        <v>4</v>
      </c>
      <c r="E69" s="23" t="inlineStr">
        <is>
          <t>مصروفات</t>
        </is>
      </c>
      <c r="F69" s="23" t="inlineStr">
        <is>
          <t>مدين</t>
        </is>
      </c>
      <c r="G69" s="23" t="inlineStr">
        <is>
          <t>نعم</t>
        </is>
      </c>
      <c r="H69" s="23" t="inlineStr">
        <is>
          <t>YER</t>
        </is>
      </c>
      <c r="I69" s="23" t="inlineStr">
        <is>
          <t>نشط</t>
        </is>
      </c>
      <c r="J69" s="23" t="n"/>
      <c r="K69">
        <f>LEN(A69)</f>
        <v/>
      </c>
    </row>
    <row r="70" hidden="1">
      <c r="A70" s="23" t="n">
        <v>5122</v>
      </c>
      <c r="B70" s="23" t="inlineStr">
        <is>
          <t>كهرباء وماء وطاقة</t>
        </is>
      </c>
      <c r="C70" s="23" t="n">
        <v>512</v>
      </c>
      <c r="D70" s="23" t="n">
        <v>4</v>
      </c>
      <c r="E70" s="23" t="inlineStr">
        <is>
          <t>مصروفات</t>
        </is>
      </c>
      <c r="F70" s="23" t="inlineStr">
        <is>
          <t>مدين</t>
        </is>
      </c>
      <c r="G70" s="23" t="inlineStr">
        <is>
          <t>نعم</t>
        </is>
      </c>
      <c r="H70" s="23" t="inlineStr">
        <is>
          <t>YER</t>
        </is>
      </c>
      <c r="I70" s="23" t="inlineStr">
        <is>
          <t>نشط</t>
        </is>
      </c>
      <c r="J70" s="23" t="n"/>
      <c r="K70">
        <f>LEN(A70)</f>
        <v/>
      </c>
    </row>
    <row r="71" hidden="1">
      <c r="A71" s="23" t="n">
        <v>5123</v>
      </c>
      <c r="B71" s="23" t="inlineStr">
        <is>
          <t>أدوات مكتبية ومطبوعات وفواتير</t>
        </is>
      </c>
      <c r="C71" s="23" t="n">
        <v>512</v>
      </c>
      <c r="D71" s="23" t="n">
        <v>4</v>
      </c>
      <c r="E71" s="23" t="inlineStr">
        <is>
          <t>مصروفات</t>
        </is>
      </c>
      <c r="F71" s="23" t="inlineStr">
        <is>
          <t>مدين</t>
        </is>
      </c>
      <c r="G71" s="23" t="inlineStr">
        <is>
          <t>نعم</t>
        </is>
      </c>
      <c r="H71" s="23" t="inlineStr">
        <is>
          <t>YER</t>
        </is>
      </c>
      <c r="I71" s="23" t="inlineStr">
        <is>
          <t>نشط</t>
        </is>
      </c>
      <c r="J71" s="23" t="n"/>
      <c r="K71">
        <f>LEN(A71)</f>
        <v/>
      </c>
    </row>
    <row r="72" hidden="1">
      <c r="A72" s="23" t="n">
        <v>5124</v>
      </c>
      <c r="B72" s="23" t="inlineStr">
        <is>
          <t>اتصالات وإنترنت</t>
        </is>
      </c>
      <c r="C72" s="23" t="n">
        <v>512</v>
      </c>
      <c r="D72" s="23" t="n">
        <v>4</v>
      </c>
      <c r="E72" s="23" t="inlineStr">
        <is>
          <t>مصروفات</t>
        </is>
      </c>
      <c r="F72" s="23" t="inlineStr">
        <is>
          <t>مدين</t>
        </is>
      </c>
      <c r="G72" s="23" t="inlineStr">
        <is>
          <t>نعم</t>
        </is>
      </c>
      <c r="H72" s="23" t="inlineStr">
        <is>
          <t>YER</t>
        </is>
      </c>
      <c r="I72" s="23" t="inlineStr">
        <is>
          <t>نشط</t>
        </is>
      </c>
      <c r="J72" s="23" t="n"/>
      <c r="K72">
        <f>LEN(A72)</f>
        <v/>
      </c>
    </row>
    <row r="73" hidden="1">
      <c r="A73" s="23" t="n">
        <v>5125</v>
      </c>
      <c r="B73" s="23" t="inlineStr">
        <is>
          <t>رسوم حوالات ومعاملات بنكيه</t>
        </is>
      </c>
      <c r="C73" s="23" t="n">
        <v>512</v>
      </c>
      <c r="D73" s="23" t="n">
        <v>4</v>
      </c>
      <c r="E73" s="23" t="inlineStr">
        <is>
          <t>مصروفات</t>
        </is>
      </c>
      <c r="F73" s="23" t="inlineStr">
        <is>
          <t>مدين</t>
        </is>
      </c>
      <c r="G73" s="23" t="inlineStr">
        <is>
          <t>نعم</t>
        </is>
      </c>
      <c r="H73" s="23" t="inlineStr">
        <is>
          <t>YER</t>
        </is>
      </c>
      <c r="I73" s="23" t="inlineStr">
        <is>
          <t>نشط</t>
        </is>
      </c>
      <c r="J73" s="23" t="n"/>
      <c r="K73">
        <f>LEN(A73)</f>
        <v/>
      </c>
    </row>
    <row r="74" hidden="1">
      <c r="A74" s="23" t="n">
        <v>5126</v>
      </c>
      <c r="B74" s="23" t="inlineStr">
        <is>
          <t>ضيافة ونظافة</t>
        </is>
      </c>
      <c r="C74" s="23" t="n">
        <v>512</v>
      </c>
      <c r="D74" s="23" t="n">
        <v>4</v>
      </c>
      <c r="E74" s="23" t="inlineStr">
        <is>
          <t>مصروفات</t>
        </is>
      </c>
      <c r="F74" s="23" t="inlineStr">
        <is>
          <t>مدين</t>
        </is>
      </c>
      <c r="G74" s="23" t="inlineStr">
        <is>
          <t>نعم</t>
        </is>
      </c>
      <c r="H74" s="23" t="inlineStr">
        <is>
          <t>YER</t>
        </is>
      </c>
      <c r="I74" s="23" t="inlineStr">
        <is>
          <t>نشط</t>
        </is>
      </c>
      <c r="J74" s="23" t="n"/>
      <c r="K74">
        <f>LEN(A74)</f>
        <v/>
      </c>
    </row>
    <row r="75" hidden="1">
      <c r="A75" s="30" t="n">
        <v>52</v>
      </c>
      <c r="B75" s="51" t="inlineStr">
        <is>
          <t>المصاريف العمومية والإدارية</t>
        </is>
      </c>
      <c r="C75" s="51" t="n">
        <v>5</v>
      </c>
      <c r="D75" s="51" t="n">
        <v>2</v>
      </c>
      <c r="E75" s="51" t="inlineStr">
        <is>
          <t>مصروفات</t>
        </is>
      </c>
      <c r="F75" s="51" t="inlineStr">
        <is>
          <t>مدين</t>
        </is>
      </c>
      <c r="G75" s="51" t="inlineStr">
        <is>
          <t>لا</t>
        </is>
      </c>
      <c r="H75" s="51" t="inlineStr">
        <is>
          <t>YER</t>
        </is>
      </c>
      <c r="I75" s="51" t="inlineStr">
        <is>
          <t>نشط</t>
        </is>
      </c>
      <c r="J75" s="51" t="n"/>
      <c r="K75">
        <f>LEN(A75)</f>
        <v/>
      </c>
    </row>
    <row r="76" hidden="1">
      <c r="A76" s="23" t="n">
        <v>521</v>
      </c>
      <c r="B76" s="23" t="inlineStr">
        <is>
          <t>صيانة وإصلاح أدوات ومعدات</t>
        </is>
      </c>
      <c r="C76" s="23" t="n">
        <v>512</v>
      </c>
      <c r="D76" s="23" t="n">
        <v>3</v>
      </c>
      <c r="E76" s="23" t="inlineStr">
        <is>
          <t>مصروفات</t>
        </is>
      </c>
      <c r="F76" s="23" t="inlineStr">
        <is>
          <t>مدين</t>
        </is>
      </c>
      <c r="G76" s="23" t="inlineStr">
        <is>
          <t>نعم</t>
        </is>
      </c>
      <c r="H76" s="23" t="inlineStr">
        <is>
          <t>YER</t>
        </is>
      </c>
      <c r="I76" s="23" t="inlineStr">
        <is>
          <t>نشط</t>
        </is>
      </c>
      <c r="J76" s="23" t="n"/>
      <c r="K76">
        <f>LEN(A76)</f>
        <v/>
      </c>
    </row>
    <row r="77" hidden="1">
      <c r="A77" s="23" t="n">
        <v>522</v>
      </c>
      <c r="B77" s="23" t="inlineStr">
        <is>
          <t>مصروف إهلاك الأصول الثابتة</t>
        </is>
      </c>
      <c r="C77" s="23" t="n">
        <v>512</v>
      </c>
      <c r="D77" s="23" t="n">
        <v>3</v>
      </c>
      <c r="E77" s="23" t="inlineStr">
        <is>
          <t>مصروفات</t>
        </is>
      </c>
      <c r="F77" s="23" t="inlineStr">
        <is>
          <t>مدين</t>
        </is>
      </c>
      <c r="G77" s="23" t="inlineStr">
        <is>
          <t>نعم</t>
        </is>
      </c>
      <c r="H77" s="23" t="inlineStr">
        <is>
          <t>YER</t>
        </is>
      </c>
      <c r="I77" s="23" t="inlineStr">
        <is>
          <t>نشط</t>
        </is>
      </c>
      <c r="J77" s="23" t="n"/>
      <c r="K77">
        <f>LEN(A77)</f>
        <v/>
      </c>
    </row>
    <row r="78" hidden="1">
      <c r="A78" s="23" t="n">
        <v>523</v>
      </c>
      <c r="B78" s="23" t="inlineStr">
        <is>
          <t>ديون معدومة وخصومات</t>
        </is>
      </c>
      <c r="C78" s="23" t="n">
        <v>512</v>
      </c>
      <c r="D78" s="23" t="n">
        <v>3</v>
      </c>
      <c r="E78" s="23" t="inlineStr">
        <is>
          <t>مصروفات</t>
        </is>
      </c>
      <c r="F78" s="23" t="inlineStr">
        <is>
          <t>مدين</t>
        </is>
      </c>
      <c r="G78" s="23" t="inlineStr">
        <is>
          <t>لا</t>
        </is>
      </c>
      <c r="H78" s="23" t="inlineStr">
        <is>
          <t>YER</t>
        </is>
      </c>
      <c r="I78" s="23" t="inlineStr">
        <is>
          <t>نشط</t>
        </is>
      </c>
      <c r="J78" s="23" t="n"/>
      <c r="K78">
        <f>LEN(A78)</f>
        <v/>
      </c>
    </row>
    <row r="79" ht="15" customHeight="1">
      <c r="A79" s="59" t="n">
        <v>52301</v>
      </c>
      <c r="B79" s="50" t="inlineStr">
        <is>
          <t>ديون معدومة-المشترين</t>
        </is>
      </c>
      <c r="C79" s="50" t="n">
        <v>523</v>
      </c>
      <c r="D79" s="50" t="n">
        <v>5</v>
      </c>
      <c r="E79" s="50" t="inlineStr">
        <is>
          <t>مصروفات</t>
        </is>
      </c>
      <c r="F79" s="50" t="inlineStr">
        <is>
          <t>مدين</t>
        </is>
      </c>
      <c r="G79" s="50" t="inlineStr">
        <is>
          <t>نعم</t>
        </is>
      </c>
      <c r="H79" s="50" t="inlineStr">
        <is>
          <t>YER</t>
        </is>
      </c>
      <c r="I79" s="50" t="inlineStr">
        <is>
          <t>نشط</t>
        </is>
      </c>
      <c r="J79" s="50" t="inlineStr">
        <is>
          <t>TableBuyers</t>
        </is>
      </c>
      <c r="K79">
        <f>LEN(A79)</f>
        <v/>
      </c>
    </row>
    <row r="80" ht="15" customHeight="1">
      <c r="A80" s="59" t="n">
        <v>52302</v>
      </c>
      <c r="B80" s="50" t="inlineStr">
        <is>
          <t>خصومات للمشترين</t>
        </is>
      </c>
      <c r="C80" s="50" t="n">
        <v>523</v>
      </c>
      <c r="D80" s="50" t="n">
        <v>5</v>
      </c>
      <c r="E80" s="50" t="inlineStr">
        <is>
          <t>مصروفات</t>
        </is>
      </c>
      <c r="F80" s="50" t="inlineStr">
        <is>
          <t>مدين</t>
        </is>
      </c>
      <c r="G80" s="50" t="inlineStr">
        <is>
          <t>نعم</t>
        </is>
      </c>
      <c r="H80" s="50" t="inlineStr">
        <is>
          <t>YER</t>
        </is>
      </c>
      <c r="I80" s="50" t="inlineStr">
        <is>
          <t>نشط</t>
        </is>
      </c>
      <c r="J80" s="50" t="inlineStr">
        <is>
          <t>TableBuyers</t>
        </is>
      </c>
      <c r="K80">
        <f>LEN(A80)</f>
        <v/>
      </c>
    </row>
    <row r="81" ht="15" customHeight="1">
      <c r="A81" s="59" t="n">
        <v>52303</v>
      </c>
      <c r="B81" s="50" t="inlineStr">
        <is>
          <t>ديون معدومة-سلف موظفين</t>
        </is>
      </c>
      <c r="C81" s="50" t="n">
        <v>523</v>
      </c>
      <c r="D81" s="50" t="n">
        <v>5</v>
      </c>
      <c r="E81" s="50" t="inlineStr">
        <is>
          <t>مصروفات</t>
        </is>
      </c>
      <c r="F81" s="50" t="inlineStr">
        <is>
          <t>مدين</t>
        </is>
      </c>
      <c r="G81" s="50" t="inlineStr">
        <is>
          <t>نعم</t>
        </is>
      </c>
      <c r="H81" s="50" t="inlineStr">
        <is>
          <t>YER</t>
        </is>
      </c>
      <c r="I81" s="50" t="inlineStr">
        <is>
          <t>نشط</t>
        </is>
      </c>
      <c r="J81" s="50" t="inlineStr">
        <is>
          <t>TableEmployees</t>
        </is>
      </c>
      <c r="K81">
        <f>LEN(A81)</f>
        <v/>
      </c>
    </row>
    <row r="82" hidden="1">
      <c r="A82" s="23" t="n">
        <v>524</v>
      </c>
      <c r="B82" s="23" t="inlineStr">
        <is>
          <t>خسائر بظائع تالفه</t>
        </is>
      </c>
      <c r="C82" s="23" t="n">
        <v>52</v>
      </c>
      <c r="D82" s="23" t="n">
        <v>3</v>
      </c>
      <c r="E82" s="23" t="inlineStr">
        <is>
          <t>مصروفات</t>
        </is>
      </c>
      <c r="F82" s="23" t="inlineStr">
        <is>
          <t>مدين</t>
        </is>
      </c>
      <c r="G82" s="23" t="inlineStr">
        <is>
          <t>نعم</t>
        </is>
      </c>
      <c r="H82" s="23" t="inlineStr">
        <is>
          <t>YER</t>
        </is>
      </c>
      <c r="I82" s="23" t="inlineStr">
        <is>
          <t>نشط</t>
        </is>
      </c>
      <c r="J82" s="23" t="n"/>
      <c r="K82">
        <f>LEN(A82)</f>
        <v/>
      </c>
    </row>
    <row r="83" hidden="1">
      <c r="A83" s="23" t="n">
        <v>525</v>
      </c>
      <c r="B83" s="23" t="inlineStr">
        <is>
          <t>رسوم حكوميه وظرائب</t>
        </is>
      </c>
      <c r="C83" s="23" t="n">
        <v>52</v>
      </c>
      <c r="D83" s="23" t="n">
        <v>3</v>
      </c>
      <c r="E83" s="23" t="inlineStr">
        <is>
          <t>مصروفات</t>
        </is>
      </c>
      <c r="F83" s="23" t="inlineStr">
        <is>
          <t>مدين</t>
        </is>
      </c>
      <c r="G83" s="23" t="inlineStr">
        <is>
          <t>نعم</t>
        </is>
      </c>
      <c r="H83" s="23" t="inlineStr">
        <is>
          <t>YER</t>
        </is>
      </c>
      <c r="I83" s="23" t="inlineStr">
        <is>
          <t>نشط</t>
        </is>
      </c>
      <c r="J83" s="23" t="n"/>
      <c r="K83">
        <f>LEN(A83)</f>
        <v/>
      </c>
    </row>
    <row r="84" hidden="1">
      <c r="A84" s="23" t="n">
        <v>5251</v>
      </c>
      <c r="B84" s="23" t="inlineStr">
        <is>
          <t>رسوم حكوميه شهريه</t>
        </is>
      </c>
      <c r="C84" s="23" t="n">
        <v>525</v>
      </c>
      <c r="D84" s="23" t="n">
        <v>4</v>
      </c>
      <c r="E84" s="23" t="inlineStr">
        <is>
          <t>مصروفات</t>
        </is>
      </c>
      <c r="F84" s="23" t="inlineStr">
        <is>
          <t>مدين</t>
        </is>
      </c>
      <c r="G84" s="23" t="inlineStr">
        <is>
          <t>نعم</t>
        </is>
      </c>
      <c r="H84" s="23" t="inlineStr">
        <is>
          <t>YER</t>
        </is>
      </c>
      <c r="I84" s="23" t="inlineStr">
        <is>
          <t>نشط</t>
        </is>
      </c>
      <c r="J84" s="23" t="n"/>
      <c r="K84">
        <f>LEN(A84)</f>
        <v/>
      </c>
    </row>
    <row r="85" hidden="1">
      <c r="A85" s="23" t="n">
        <v>5252</v>
      </c>
      <c r="B85" s="23" t="inlineStr">
        <is>
          <t>ظرائب وغرامات</t>
        </is>
      </c>
      <c r="C85" s="23" t="n">
        <v>525</v>
      </c>
      <c r="D85" s="23" t="n">
        <v>4</v>
      </c>
      <c r="E85" s="23" t="inlineStr">
        <is>
          <t>مصروفات</t>
        </is>
      </c>
      <c r="F85" s="23" t="inlineStr">
        <is>
          <t>مدين</t>
        </is>
      </c>
      <c r="G85" s="23" t="inlineStr">
        <is>
          <t>نعم</t>
        </is>
      </c>
      <c r="H85" s="23" t="inlineStr">
        <is>
          <t>YER</t>
        </is>
      </c>
      <c r="I85" s="23" t="inlineStr">
        <is>
          <t>نشط</t>
        </is>
      </c>
      <c r="J85" s="23" t="n"/>
      <c r="K85">
        <f>LEN(A85)</f>
        <v/>
      </c>
    </row>
    <row r="86" hidden="1">
      <c r="A86" s="23" t="n">
        <v>526</v>
      </c>
      <c r="B86" s="23" t="inlineStr">
        <is>
          <t>الزكاه والصدقات والتبرعات</t>
        </is>
      </c>
      <c r="C86" s="23" t="n">
        <v>52</v>
      </c>
      <c r="D86" s="23" t="n">
        <v>3</v>
      </c>
      <c r="E86" s="23" t="inlineStr">
        <is>
          <t>مصروفات</t>
        </is>
      </c>
      <c r="F86" s="23" t="inlineStr">
        <is>
          <t>مدين</t>
        </is>
      </c>
      <c r="G86" s="23" t="inlineStr">
        <is>
          <t>نعم</t>
        </is>
      </c>
      <c r="H86" s="23" t="inlineStr">
        <is>
          <t>YER</t>
        </is>
      </c>
      <c r="I86" s="23" t="inlineStr">
        <is>
          <t>نشط</t>
        </is>
      </c>
      <c r="J86" s="23" t="n"/>
      <c r="K86">
        <f>LEN(A86)</f>
        <v/>
      </c>
    </row>
    <row r="87" hidden="1">
      <c r="A87" s="23" t="n">
        <v>5261</v>
      </c>
      <c r="B87" s="23" t="inlineStr">
        <is>
          <t>الهدايا والهبات</t>
        </is>
      </c>
      <c r="C87" s="23" t="n">
        <v>526</v>
      </c>
      <c r="D87" s="23" t="n">
        <v>4</v>
      </c>
      <c r="E87" s="23" t="inlineStr">
        <is>
          <t>مصروفات</t>
        </is>
      </c>
      <c r="F87" s="23" t="inlineStr">
        <is>
          <t>مدين</t>
        </is>
      </c>
      <c r="G87" s="23" t="inlineStr">
        <is>
          <t>نعم</t>
        </is>
      </c>
      <c r="H87" s="23" t="inlineStr">
        <is>
          <t>YER</t>
        </is>
      </c>
      <c r="I87" s="23" t="inlineStr">
        <is>
          <t>نشط</t>
        </is>
      </c>
      <c r="J87" s="23" t="n"/>
      <c r="K87">
        <f>LEN(A87)</f>
        <v/>
      </c>
    </row>
    <row r="88" hidden="1">
      <c r="A88" s="23" t="n">
        <v>5262</v>
      </c>
      <c r="B88" s="23" t="inlineStr">
        <is>
          <t>الصدقات والتبرعات</t>
        </is>
      </c>
      <c r="C88" s="23" t="n">
        <v>526</v>
      </c>
      <c r="D88" s="23" t="n">
        <v>4</v>
      </c>
      <c r="E88" s="23" t="inlineStr">
        <is>
          <t>مصروفات</t>
        </is>
      </c>
      <c r="F88" s="23" t="inlineStr">
        <is>
          <t>مدين</t>
        </is>
      </c>
      <c r="G88" s="23" t="inlineStr">
        <is>
          <t>نعم</t>
        </is>
      </c>
      <c r="H88" s="23" t="inlineStr">
        <is>
          <t>YER</t>
        </is>
      </c>
      <c r="I88" s="23" t="inlineStr">
        <is>
          <t>نشط</t>
        </is>
      </c>
      <c r="J88" s="23" t="n"/>
      <c r="K88">
        <f>LEN(A88)</f>
        <v/>
      </c>
    </row>
    <row r="89" hidden="1">
      <c r="A89" s="23" t="n">
        <v>5263</v>
      </c>
      <c r="B89" s="23" t="inlineStr">
        <is>
          <t>الزكاه السنويه</t>
        </is>
      </c>
      <c r="C89" s="23" t="n">
        <v>526</v>
      </c>
      <c r="D89" s="23" t="n">
        <v>4</v>
      </c>
      <c r="E89" s="23" t="inlineStr">
        <is>
          <t>مصروفات</t>
        </is>
      </c>
      <c r="F89" s="23" t="inlineStr">
        <is>
          <t>مدين</t>
        </is>
      </c>
      <c r="G89" s="23" t="inlineStr">
        <is>
          <t>نعم</t>
        </is>
      </c>
      <c r="H89" s="23" t="inlineStr">
        <is>
          <t>YER</t>
        </is>
      </c>
      <c r="I89" s="23" t="inlineStr">
        <is>
          <t>نشط</t>
        </is>
      </c>
      <c r="J89" s="23" t="n"/>
      <c r="K89">
        <f>LEN(A89)</f>
        <v/>
      </c>
    </row>
  </sheetData>
  <autoFilter ref="A1:L89">
    <filterColumn colId="0" hiddenButton="0" showButton="1">
      <customFilters>
        <customFilter val="11111" operator="greaterThan"/>
      </customFilters>
    </filterColumn>
  </autoFilter>
  <conditionalFormatting sqref="A1:A1048576">
    <cfRule type="duplicateValues" priority="18" dxfId="0"/>
  </conditionalFormatting>
  <conditionalFormatting sqref="C6:C8">
    <cfRule type="duplicateValues" priority="1" dxfId="0"/>
  </conditionalFormatting>
  <conditionalFormatting sqref="C18:C19">
    <cfRule type="duplicateValues" priority="2" dxfId="0"/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ورقة9">
    <outlinePr summaryBelow="1" summaryRight="1"/>
    <pageSetUpPr/>
  </sheetPr>
  <dimension ref="A1:M2"/>
  <sheetViews>
    <sheetView rightToLeft="1" topLeftCell="B1" workbookViewId="0">
      <selection activeCell="H9" sqref="H9"/>
    </sheetView>
  </sheetViews>
  <sheetFormatPr baseColWidth="8" defaultRowHeight="13.8"/>
  <cols>
    <col width="23.296875" bestFit="1" customWidth="1" min="1" max="1"/>
    <col width="11.5" bestFit="1" customWidth="1" min="2" max="2"/>
    <col width="10.796875" bestFit="1" customWidth="1" min="3" max="3"/>
    <col width="11.5" bestFit="1" customWidth="1" min="4" max="4"/>
    <col width="17.59765625" bestFit="1" customWidth="1" min="5" max="5"/>
  </cols>
  <sheetData>
    <row r="1">
      <c r="A1" s="10" t="inlineStr">
        <is>
          <t>كود القيمه</t>
        </is>
      </c>
      <c r="B1" s="10" t="inlineStr">
        <is>
          <t>اسم القيمه عربي</t>
        </is>
      </c>
      <c r="C1" s="10" t="inlineStr">
        <is>
          <t>اسم القيمه انجليزي</t>
        </is>
      </c>
      <c r="D1" s="10" t="inlineStr">
        <is>
          <t>اسم الجدول</t>
        </is>
      </c>
      <c r="E1" s="10" t="inlineStr">
        <is>
          <t>اسم العمود عربي</t>
        </is>
      </c>
      <c r="F1" s="10" t="inlineStr">
        <is>
          <t>اسم العمود انجليزي</t>
        </is>
      </c>
      <c r="G1" s="10" t="inlineStr">
        <is>
          <t>نوع القيمه</t>
        </is>
      </c>
      <c r="H1" s="10" t="inlineStr">
        <is>
          <t>القيمه الافتراضيه</t>
        </is>
      </c>
      <c r="I1" s="10" t="inlineStr">
        <is>
          <t>القيمه الحاليه</t>
        </is>
      </c>
      <c r="J1" s="10" t="inlineStr">
        <is>
          <t>حاله القيمه</t>
        </is>
      </c>
      <c r="K1" s="10" t="inlineStr">
        <is>
          <t>اسم المستخدم</t>
        </is>
      </c>
      <c r="L1" s="10" t="inlineStr">
        <is>
          <t>تاريخ اخر تعديل</t>
        </is>
      </c>
      <c r="M1" s="10" t="inlineStr">
        <is>
          <t>ملاحظات</t>
        </is>
      </c>
    </row>
    <row r="2">
      <c r="A2" s="10" t="inlineStr">
        <is>
          <t>Value_ID</t>
        </is>
      </c>
      <c r="B2" s="10" t="inlineStr">
        <is>
          <t>Value_Name_Arabic</t>
        </is>
      </c>
      <c r="C2" s="10" t="inlineStr">
        <is>
          <t>Value_Name_English</t>
        </is>
      </c>
      <c r="D2" s="10" t="inlineStr">
        <is>
          <t>Table_Name</t>
        </is>
      </c>
      <c r="E2" s="10" t="inlineStr">
        <is>
          <t>Column_Name_Arabic</t>
        </is>
      </c>
      <c r="F2" s="10" t="inlineStr">
        <is>
          <t>Column_Name_English</t>
        </is>
      </c>
      <c r="G2" s="10" t="inlineStr">
        <is>
          <t>Value_Type</t>
        </is>
      </c>
      <c r="H2" s="10" t="inlineStr">
        <is>
          <t>Default_Value</t>
        </is>
      </c>
      <c r="I2" s="10" t="inlineStr">
        <is>
          <t>Current_Value</t>
        </is>
      </c>
      <c r="J2" s="10" t="inlineStr">
        <is>
          <t>Value_Status</t>
        </is>
      </c>
      <c r="K2" s="10" t="inlineStr">
        <is>
          <t>Username</t>
        </is>
      </c>
      <c r="L2" s="10" t="inlineStr">
        <is>
          <t>Last_Modified_Date</t>
        </is>
      </c>
      <c r="M2" s="10" t="inlineStr">
        <is>
          <t>Notes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كود المستخدم</t>
        </is>
      </c>
      <c r="B1" t="inlineStr">
        <is>
          <t>اسم المستخدم</t>
        </is>
      </c>
      <c r="C1" t="inlineStr">
        <is>
          <t>الاسم الكامل</t>
        </is>
      </c>
      <c r="D1" t="inlineStr">
        <is>
          <t>كلمة المرور (مشفّرة)</t>
        </is>
      </c>
      <c r="E1" t="inlineStr">
        <is>
          <t>البريد الإلكتروني</t>
        </is>
      </c>
      <c r="F1" t="inlineStr">
        <is>
          <t>رقم الهاتف</t>
        </is>
      </c>
      <c r="G1" t="inlineStr">
        <is>
          <t>الصلاحية</t>
        </is>
      </c>
      <c r="H1" t="inlineStr">
        <is>
          <t>الحالة</t>
        </is>
      </c>
      <c r="I1" t="inlineStr">
        <is>
          <t>تاريخ الإنشاء</t>
        </is>
      </c>
      <c r="J1" t="inlineStr">
        <is>
          <t>آخر تسجيل دخول</t>
        </is>
      </c>
    </row>
    <row r="2">
      <c r="A2" t="inlineStr">
        <is>
          <t>UserID</t>
        </is>
      </c>
      <c r="B2" t="inlineStr">
        <is>
          <t>Username</t>
        </is>
      </c>
      <c r="C2" t="inlineStr">
        <is>
          <t>FullName</t>
        </is>
      </c>
      <c r="D2" t="inlineStr">
        <is>
          <t>PasswordHash</t>
        </is>
      </c>
      <c r="E2" t="inlineStr">
        <is>
          <t>Email</t>
        </is>
      </c>
      <c r="F2" t="inlineStr">
        <is>
          <t>Phone</t>
        </is>
      </c>
      <c r="G2" t="inlineStr">
        <is>
          <t>Role</t>
        </is>
      </c>
      <c r="H2" t="inlineStr">
        <is>
          <t>Status</t>
        </is>
      </c>
      <c r="I2" t="inlineStr">
        <is>
          <t>CreatedAt</t>
        </is>
      </c>
      <c r="J2" t="inlineStr">
        <is>
          <t>LastLogin</t>
        </is>
      </c>
    </row>
    <row r="3">
      <c r="A3" t="n">
        <v>1</v>
      </c>
      <c r="B3" t="inlineStr">
        <is>
          <t>admin</t>
        </is>
      </c>
      <c r="C3" t="inlineStr">
        <is>
          <t>مدير النظام</t>
        </is>
      </c>
      <c r="D3" t="inlineStr">
        <is>
          <t>pbkdf2_sha256$120000$3b3427a8f9a34acf848ee569e4cd7121$e12900f2fb94f57d6c450b0910359c83bb39e790e728287043e8371e45c73657</t>
        </is>
      </c>
      <c r="E3" t="inlineStr"/>
      <c r="F3" t="inlineStr"/>
      <c r="G3" t="inlineStr">
        <is>
          <t>مدير النظام</t>
        </is>
      </c>
      <c r="H3" t="inlineStr">
        <is>
          <t>نشط</t>
        </is>
      </c>
      <c r="I3" t="inlineStr">
        <is>
          <t>2026-09-20 13:54</t>
        </is>
      </c>
      <c r="J3" t="inlineStr">
        <is>
          <t>2026-09-21 01:27</t>
        </is>
      </c>
    </row>
    <row r="4">
      <c r="A4" t="n">
        <v>2</v>
      </c>
      <c r="B4" t="inlineStr">
        <is>
          <t>yusuf</t>
        </is>
      </c>
      <c r="C4" t="inlineStr">
        <is>
          <t>Yusuf Abdullah</t>
        </is>
      </c>
      <c r="D4" t="inlineStr">
        <is>
          <t>pbkdf2_sha256$120000$d78aa3005fe6064dec78c626de146c80$ff06a04b391631f44e832b9fdb36348935c4276be68a2c862a4862f6f24b74e8</t>
        </is>
      </c>
      <c r="E4" t="inlineStr">
        <is>
          <t>yusuf.abdullah.mohamed@gmail.com</t>
        </is>
      </c>
      <c r="F4" t="inlineStr"/>
      <c r="G4" t="inlineStr">
        <is>
          <t>مستخدم</t>
        </is>
      </c>
      <c r="H4" t="inlineStr">
        <is>
          <t>نشط</t>
        </is>
      </c>
      <c r="I4" t="inlineStr">
        <is>
          <t>2026-09-20 14:26</t>
        </is>
      </c>
      <c r="J4" t="inlineStr">
        <is>
          <t>2026-09-20 14:26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2026-09-02T07:26:38Z</dcterms:created>
  <dcterms:modified xsi:type="dcterms:W3CDTF">2026-09-20T22:27:48Z</dcterms:modified>
  <cp:lastModifiedBy>ُEngineer</cp:lastModifiedBy>
</cp:coreProperties>
</file>